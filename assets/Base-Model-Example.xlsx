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ache-my.sharepoint.com/personal/charles_combe_apachecorp_com/Documents/Documents/"/>
    </mc:Choice>
  </mc:AlternateContent>
  <xr:revisionPtr revIDLastSave="0" documentId="8_{A9E36C38-296D-407F-8BE6-CDAF2B709F3F}" xr6:coauthVersionLast="47" xr6:coauthVersionMax="47" xr10:uidLastSave="{00000000-0000-0000-0000-000000000000}"/>
  <bookViews>
    <workbookView xWindow="-120" yWindow="-120" windowWidth="29040" windowHeight="15720" xr2:uid="{3DE38EF9-4952-4E30-BE71-7BE9F6E061AC}"/>
  </bookViews>
  <sheets>
    <sheet name="Inputs" sheetId="1" r:id="rId1"/>
    <sheet name="Projec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5" l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I21" i="5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H21" i="5"/>
  <c r="G11" i="5"/>
  <c r="C33" i="1"/>
  <c r="C42" i="1"/>
  <c r="C35" i="1"/>
  <c r="F6" i="5" s="1"/>
  <c r="G6" i="5" l="1"/>
  <c r="E6" i="5"/>
  <c r="D6" i="5" l="1"/>
  <c r="C26" i="1" l="1"/>
  <c r="D21" i="5"/>
  <c r="C10" i="1"/>
  <c r="C43" i="1"/>
  <c r="C60" i="1"/>
  <c r="C64" i="1" s="1"/>
  <c r="C68" i="1"/>
  <c r="F11" i="5" l="1"/>
  <c r="F17" i="5" s="1"/>
  <c r="G17" i="5"/>
  <c r="E11" i="5"/>
  <c r="E17" i="5" s="1"/>
  <c r="D11" i="5"/>
  <c r="D17" i="5" s="1"/>
  <c r="D5" i="5"/>
  <c r="D10" i="5" s="1"/>
  <c r="D16" i="5" s="1"/>
  <c r="H1" i="5"/>
  <c r="H6" i="5" s="1"/>
  <c r="B22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C51" i="1"/>
  <c r="B37" i="5"/>
  <c r="F26" i="5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H11" i="5" l="1"/>
  <c r="I1" i="5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H17" i="5"/>
  <c r="F22" i="5"/>
  <c r="G22" i="5" s="1"/>
  <c r="C65" i="1"/>
  <c r="E23" i="5"/>
  <c r="D23" i="5" s="1"/>
  <c r="E26" i="5"/>
  <c r="D26" i="5" s="1"/>
  <c r="F27" i="5"/>
  <c r="G27" i="5" s="1"/>
  <c r="F25" i="5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F24" i="5"/>
  <c r="E24" i="5" s="1"/>
  <c r="D24" i="5" s="1"/>
  <c r="C62" i="1"/>
  <c r="I6" i="5" l="1"/>
  <c r="E22" i="5"/>
  <c r="D22" i="5" s="1"/>
  <c r="C71" i="1"/>
  <c r="C67" i="1"/>
  <c r="H27" i="5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E21" i="5"/>
  <c r="F21" i="5" s="1"/>
  <c r="G21" i="5" s="1"/>
  <c r="D84" i="1" s="1"/>
  <c r="E27" i="5"/>
  <c r="D27" i="5" s="1"/>
  <c r="E25" i="5"/>
  <c r="D25" i="5" s="1"/>
  <c r="H22" i="5"/>
  <c r="G24" i="5"/>
  <c r="J6" i="5" l="1"/>
  <c r="I11" i="5"/>
  <c r="I17" i="5"/>
  <c r="D4" i="5"/>
  <c r="D7" i="5" s="1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D87" i="1"/>
  <c r="E87" i="1" s="1"/>
  <c r="G87" i="1" s="1"/>
  <c r="D86" i="1"/>
  <c r="E86" i="1" s="1"/>
  <c r="G86" i="1" s="1"/>
  <c r="D85" i="1"/>
  <c r="E85" i="1" s="1"/>
  <c r="G85" i="1" s="1"/>
  <c r="E5" i="5"/>
  <c r="D28" i="5"/>
  <c r="E28" i="5"/>
  <c r="K6" i="5" l="1"/>
  <c r="J11" i="5"/>
  <c r="J17" i="5" s="1"/>
  <c r="F5" i="5"/>
  <c r="G5" i="5" s="1"/>
  <c r="D9" i="5"/>
  <c r="D12" i="5" s="1"/>
  <c r="E4" i="5"/>
  <c r="F4" i="5" s="1"/>
  <c r="M28" i="5"/>
  <c r="I28" i="5"/>
  <c r="H28" i="5"/>
  <c r="L28" i="5"/>
  <c r="E84" i="1"/>
  <c r="E10" i="5"/>
  <c r="F10" i="5" s="1"/>
  <c r="G10" i="5" s="1"/>
  <c r="J28" i="5"/>
  <c r="G28" i="5"/>
  <c r="F28" i="5"/>
  <c r="E7" i="5"/>
  <c r="F7" i="5" s="1"/>
  <c r="L6" i="5" l="1"/>
  <c r="K11" i="5"/>
  <c r="K17" i="5" s="1"/>
  <c r="E16" i="5"/>
  <c r="F16" i="5"/>
  <c r="E9" i="5"/>
  <c r="F9" i="5" s="1"/>
  <c r="G9" i="5" s="1"/>
  <c r="D15" i="5"/>
  <c r="N28" i="5"/>
  <c r="G84" i="1"/>
  <c r="G88" i="1" s="1"/>
  <c r="E88" i="1"/>
  <c r="E12" i="5"/>
  <c r="F12" i="5" s="1"/>
  <c r="G12" i="5" s="1"/>
  <c r="K28" i="5"/>
  <c r="G61" i="5" s="1"/>
  <c r="H61" i="5" s="1"/>
  <c r="I61" i="5" s="1"/>
  <c r="G4" i="5"/>
  <c r="D14" i="5"/>
  <c r="M6" i="5" l="1"/>
  <c r="L11" i="5"/>
  <c r="G7" i="5"/>
  <c r="G14" i="5" s="1"/>
  <c r="L17" i="5"/>
  <c r="G16" i="5"/>
  <c r="H5" i="5"/>
  <c r="F15" i="5"/>
  <c r="E15" i="5"/>
  <c r="C63" i="5"/>
  <c r="H4" i="5"/>
  <c r="O28" i="5"/>
  <c r="G15" i="5"/>
  <c r="D30" i="5"/>
  <c r="D31" i="5" s="1"/>
  <c r="D18" i="5"/>
  <c r="E14" i="5"/>
  <c r="N6" i="5" l="1"/>
  <c r="M11" i="5"/>
  <c r="M17" i="5" s="1"/>
  <c r="H7" i="5"/>
  <c r="I5" i="5"/>
  <c r="H10" i="5"/>
  <c r="H16" i="5" s="1"/>
  <c r="I4" i="5"/>
  <c r="P28" i="5"/>
  <c r="D33" i="5"/>
  <c r="H9" i="5"/>
  <c r="E30" i="5"/>
  <c r="E18" i="5"/>
  <c r="F14" i="5"/>
  <c r="O6" i="5" l="1"/>
  <c r="N11" i="5"/>
  <c r="I7" i="5"/>
  <c r="N17" i="5"/>
  <c r="J5" i="5"/>
  <c r="I10" i="5"/>
  <c r="I16" i="5" s="1"/>
  <c r="E33" i="5"/>
  <c r="E34" i="5" s="1"/>
  <c r="E37" i="5" s="1"/>
  <c r="E31" i="5"/>
  <c r="H12" i="5"/>
  <c r="J4" i="5"/>
  <c r="Q28" i="5"/>
  <c r="D34" i="5"/>
  <c r="H15" i="5"/>
  <c r="I9" i="5"/>
  <c r="F30" i="5"/>
  <c r="F18" i="5"/>
  <c r="J7" i="5" l="1"/>
  <c r="P6" i="5"/>
  <c r="O11" i="5"/>
  <c r="O17" i="5" s="1"/>
  <c r="I12" i="5"/>
  <c r="I14" i="5" s="1"/>
  <c r="K5" i="5"/>
  <c r="J10" i="5"/>
  <c r="J16" i="5" s="1"/>
  <c r="F33" i="5"/>
  <c r="F34" i="5" s="1"/>
  <c r="F37" i="5" s="1"/>
  <c r="F31" i="5"/>
  <c r="K4" i="5"/>
  <c r="H14" i="5"/>
  <c r="D37" i="5"/>
  <c r="D38" i="5" s="1"/>
  <c r="R28" i="5"/>
  <c r="D35" i="5"/>
  <c r="I15" i="5"/>
  <c r="J9" i="5"/>
  <c r="E38" i="5"/>
  <c r="E35" i="5"/>
  <c r="G30" i="5"/>
  <c r="G18" i="5"/>
  <c r="K7" i="5" l="1"/>
  <c r="Q6" i="5"/>
  <c r="P11" i="5"/>
  <c r="P17" i="5"/>
  <c r="C6" i="5"/>
  <c r="C11" i="5"/>
  <c r="J12" i="5"/>
  <c r="J14" i="5" s="1"/>
  <c r="J18" i="5" s="1"/>
  <c r="L5" i="5"/>
  <c r="K10" i="5"/>
  <c r="K16" i="5" s="1"/>
  <c r="I30" i="5"/>
  <c r="E68" i="5" s="1"/>
  <c r="E67" i="5" s="1"/>
  <c r="E70" i="5" s="1"/>
  <c r="I18" i="5"/>
  <c r="H18" i="5"/>
  <c r="H30" i="5"/>
  <c r="L4" i="5"/>
  <c r="C58" i="5"/>
  <c r="C4" i="5"/>
  <c r="S28" i="5"/>
  <c r="G33" i="5"/>
  <c r="C68" i="5"/>
  <c r="J15" i="5"/>
  <c r="K9" i="5"/>
  <c r="G31" i="5"/>
  <c r="F38" i="5"/>
  <c r="F35" i="5"/>
  <c r="L7" i="5" l="1"/>
  <c r="R6" i="5"/>
  <c r="Q11" i="5"/>
  <c r="Q17" i="5" s="1"/>
  <c r="M5" i="5"/>
  <c r="L10" i="5"/>
  <c r="L16" i="5" s="1"/>
  <c r="J30" i="5"/>
  <c r="F68" i="5" s="1"/>
  <c r="F67" i="5" s="1"/>
  <c r="F70" i="5" s="1"/>
  <c r="C60" i="5"/>
  <c r="C24" i="5"/>
  <c r="E71" i="5"/>
  <c r="E72" i="5" s="1"/>
  <c r="C59" i="5"/>
  <c r="G58" i="5"/>
  <c r="H58" i="5" s="1"/>
  <c r="I58" i="5" s="1"/>
  <c r="I31" i="5"/>
  <c r="I33" i="5"/>
  <c r="I34" i="5" s="1"/>
  <c r="G34" i="5"/>
  <c r="C28" i="5"/>
  <c r="C21" i="5"/>
  <c r="C10" i="5"/>
  <c r="C7" i="5"/>
  <c r="C25" i="5"/>
  <c r="C27" i="5"/>
  <c r="C5" i="5"/>
  <c r="C22" i="5"/>
  <c r="C23" i="5"/>
  <c r="C26" i="5"/>
  <c r="D68" i="5"/>
  <c r="H33" i="5"/>
  <c r="H34" i="5" s="1"/>
  <c r="H37" i="5" s="1"/>
  <c r="H31" i="5"/>
  <c r="M4" i="5"/>
  <c r="K12" i="5"/>
  <c r="C9" i="5"/>
  <c r="L9" i="5"/>
  <c r="T28" i="5"/>
  <c r="C71" i="5"/>
  <c r="C67" i="5"/>
  <c r="C70" i="5" s="1"/>
  <c r="E69" i="5"/>
  <c r="K15" i="5"/>
  <c r="M7" i="5" l="1"/>
  <c r="S6" i="5"/>
  <c r="R11" i="5"/>
  <c r="R17" i="5" s="1"/>
  <c r="N5" i="5"/>
  <c r="M10" i="5"/>
  <c r="M16" i="5" s="1"/>
  <c r="L12" i="5"/>
  <c r="L14" i="5" s="1"/>
  <c r="L18" i="5" s="1"/>
  <c r="J31" i="5"/>
  <c r="J33" i="5"/>
  <c r="J34" i="5" s="1"/>
  <c r="J37" i="5" s="1"/>
  <c r="F71" i="5"/>
  <c r="F72" i="5" s="1"/>
  <c r="I37" i="5"/>
  <c r="I38" i="5" s="1"/>
  <c r="G35" i="5"/>
  <c r="G37" i="5"/>
  <c r="G38" i="5" s="1"/>
  <c r="G59" i="5"/>
  <c r="H59" i="5" s="1"/>
  <c r="I59" i="5" s="1"/>
  <c r="C62" i="5" s="1"/>
  <c r="C61" i="5"/>
  <c r="I35" i="5"/>
  <c r="N4" i="5"/>
  <c r="H38" i="5"/>
  <c r="H35" i="5"/>
  <c r="K14" i="5"/>
  <c r="C12" i="5"/>
  <c r="M9" i="5"/>
  <c r="D71" i="5"/>
  <c r="D67" i="5"/>
  <c r="L15" i="5"/>
  <c r="U28" i="5"/>
  <c r="E73" i="5"/>
  <c r="C72" i="5"/>
  <c r="F69" i="5"/>
  <c r="C69" i="5"/>
  <c r="T6" i="5" l="1"/>
  <c r="S11" i="5"/>
  <c r="S17" i="5"/>
  <c r="N9" i="5"/>
  <c r="N15" i="5" s="1"/>
  <c r="N7" i="5"/>
  <c r="O5" i="5"/>
  <c r="N10" i="5"/>
  <c r="N16" i="5" s="1"/>
  <c r="M12" i="5"/>
  <c r="M14" i="5" s="1"/>
  <c r="L30" i="5"/>
  <c r="L31" i="5" s="1"/>
  <c r="J35" i="5"/>
  <c r="J38" i="5"/>
  <c r="C14" i="5"/>
  <c r="K30" i="5"/>
  <c r="K18" i="5"/>
  <c r="M15" i="5"/>
  <c r="D70" i="5"/>
  <c r="D72" i="5" s="1"/>
  <c r="D69" i="5"/>
  <c r="O4" i="5"/>
  <c r="V28" i="5"/>
  <c r="C73" i="5"/>
  <c r="F73" i="5"/>
  <c r="U6" i="5" l="1"/>
  <c r="T11" i="5"/>
  <c r="T17" i="5" s="1"/>
  <c r="O9" i="5"/>
  <c r="O7" i="5"/>
  <c r="P5" i="5"/>
  <c r="O10" i="5"/>
  <c r="O16" i="5" s="1"/>
  <c r="N12" i="5"/>
  <c r="N14" i="5" s="1"/>
  <c r="N30" i="5" s="1"/>
  <c r="N31" i="5" s="1"/>
  <c r="L33" i="5"/>
  <c r="L34" i="5" s="1"/>
  <c r="L37" i="5" s="1"/>
  <c r="L38" i="5" s="1"/>
  <c r="M30" i="5"/>
  <c r="M18" i="5"/>
  <c r="D73" i="5"/>
  <c r="G68" i="5"/>
  <c r="C30" i="5"/>
  <c r="K33" i="5"/>
  <c r="K31" i="5"/>
  <c r="P4" i="5"/>
  <c r="O15" i="5"/>
  <c r="W28" i="5"/>
  <c r="V6" i="5" l="1"/>
  <c r="U11" i="5"/>
  <c r="U17" i="5" s="1"/>
  <c r="P7" i="5"/>
  <c r="Q5" i="5"/>
  <c r="P10" i="5"/>
  <c r="P16" i="5" s="1"/>
  <c r="N33" i="5"/>
  <c r="N34" i="5" s="1"/>
  <c r="N37" i="5" s="1"/>
  <c r="N18" i="5"/>
  <c r="O12" i="5"/>
  <c r="O14" i="5" s="1"/>
  <c r="L35" i="5"/>
  <c r="M31" i="5"/>
  <c r="M33" i="5"/>
  <c r="M34" i="5" s="1"/>
  <c r="M37" i="5" s="1"/>
  <c r="Q4" i="5"/>
  <c r="K34" i="5"/>
  <c r="K37" i="5" s="1"/>
  <c r="C33" i="5"/>
  <c r="P9" i="5"/>
  <c r="H68" i="5"/>
  <c r="G67" i="5"/>
  <c r="G71" i="5"/>
  <c r="X28" i="5"/>
  <c r="W6" i="5" l="1"/>
  <c r="V11" i="5"/>
  <c r="V17" i="5" s="1"/>
  <c r="Q7" i="5"/>
  <c r="P12" i="5"/>
  <c r="P14" i="5" s="1"/>
  <c r="P18" i="5" s="1"/>
  <c r="O18" i="5"/>
  <c r="O30" i="5"/>
  <c r="N38" i="5"/>
  <c r="R5" i="5"/>
  <c r="Q10" i="5"/>
  <c r="Q16" i="5" s="1"/>
  <c r="N35" i="5"/>
  <c r="M35" i="5"/>
  <c r="M38" i="5"/>
  <c r="P15" i="5"/>
  <c r="H71" i="5"/>
  <c r="G70" i="5"/>
  <c r="H70" i="5" s="1"/>
  <c r="H67" i="5"/>
  <c r="H69" i="5" s="1"/>
  <c r="G69" i="5"/>
  <c r="C34" i="5"/>
  <c r="K35" i="5"/>
  <c r="R4" i="5"/>
  <c r="Q9" i="5"/>
  <c r="Y28" i="5"/>
  <c r="Z28" i="5"/>
  <c r="X6" i="5" l="1"/>
  <c r="W11" i="5"/>
  <c r="W17" i="5" s="1"/>
  <c r="R7" i="5"/>
  <c r="P30" i="5"/>
  <c r="P31" i="5" s="1"/>
  <c r="S5" i="5"/>
  <c r="R10" i="5"/>
  <c r="R16" i="5" s="1"/>
  <c r="O33" i="5"/>
  <c r="O34" i="5" s="1"/>
  <c r="O31" i="5"/>
  <c r="Q12" i="5"/>
  <c r="Q14" i="5" s="1"/>
  <c r="Q15" i="5"/>
  <c r="S4" i="5"/>
  <c r="K38" i="5"/>
  <c r="C37" i="5"/>
  <c r="G72" i="5"/>
  <c r="G73" i="5" s="1"/>
  <c r="R9" i="5"/>
  <c r="H72" i="5"/>
  <c r="H73" i="5" s="1"/>
  <c r="Y6" i="5" l="1"/>
  <c r="X11" i="5"/>
  <c r="X17" i="5"/>
  <c r="S9" i="5"/>
  <c r="S15" i="5" s="1"/>
  <c r="S7" i="5"/>
  <c r="P33" i="5"/>
  <c r="P34" i="5" s="1"/>
  <c r="P37" i="5" s="1"/>
  <c r="P38" i="5" s="1"/>
  <c r="O37" i="5"/>
  <c r="O38" i="5" s="1"/>
  <c r="O35" i="5"/>
  <c r="R12" i="5"/>
  <c r="R14" i="5" s="1"/>
  <c r="R30" i="5" s="1"/>
  <c r="R31" i="5" s="1"/>
  <c r="T5" i="5"/>
  <c r="S10" i="5"/>
  <c r="S16" i="5" s="1"/>
  <c r="C38" i="5"/>
  <c r="R15" i="5"/>
  <c r="T4" i="5"/>
  <c r="Q30" i="5"/>
  <c r="Q18" i="5"/>
  <c r="Z6" i="5" l="1"/>
  <c r="Z11" i="5" s="1"/>
  <c r="Y11" i="5"/>
  <c r="Z17" i="5"/>
  <c r="Y17" i="5"/>
  <c r="T9" i="5"/>
  <c r="T15" i="5" s="1"/>
  <c r="T7" i="5"/>
  <c r="S12" i="5"/>
  <c r="S14" i="5" s="1"/>
  <c r="S18" i="5" s="1"/>
  <c r="P35" i="5"/>
  <c r="R18" i="5"/>
  <c r="R33" i="5"/>
  <c r="R34" i="5" s="1"/>
  <c r="R37" i="5" s="1"/>
  <c r="U5" i="5"/>
  <c r="T10" i="5"/>
  <c r="T16" i="5" s="1"/>
  <c r="Q31" i="5"/>
  <c r="Q33" i="5"/>
  <c r="Q34" i="5" s="1"/>
  <c r="Q37" i="5" s="1"/>
  <c r="U4" i="5"/>
  <c r="U9" i="5" l="1"/>
  <c r="U15" i="5" s="1"/>
  <c r="U7" i="5"/>
  <c r="S30" i="5"/>
  <c r="S33" i="5" s="1"/>
  <c r="S34" i="5" s="1"/>
  <c r="S37" i="5" s="1"/>
  <c r="S38" i="5" s="1"/>
  <c r="T12" i="5"/>
  <c r="T14" i="5" s="1"/>
  <c r="T18" i="5" s="1"/>
  <c r="R35" i="5"/>
  <c r="V5" i="5"/>
  <c r="U10" i="5"/>
  <c r="U16" i="5" s="1"/>
  <c r="R38" i="5"/>
  <c r="Q38" i="5"/>
  <c r="Q35" i="5"/>
  <c r="V4" i="5"/>
  <c r="V9" i="5" l="1"/>
  <c r="V15" i="5" s="1"/>
  <c r="V7" i="5"/>
  <c r="U12" i="5"/>
  <c r="U14" i="5" s="1"/>
  <c r="U18" i="5" s="1"/>
  <c r="S31" i="5"/>
  <c r="S35" i="5"/>
  <c r="W5" i="5"/>
  <c r="V10" i="5"/>
  <c r="V16" i="5" s="1"/>
  <c r="T30" i="5"/>
  <c r="T33" i="5" s="1"/>
  <c r="T34" i="5" s="1"/>
  <c r="T37" i="5" s="1"/>
  <c r="W4" i="5"/>
  <c r="W7" i="5" l="1"/>
  <c r="V12" i="5"/>
  <c r="V14" i="5" s="1"/>
  <c r="V18" i="5" s="1"/>
  <c r="T35" i="5"/>
  <c r="T38" i="5"/>
  <c r="T31" i="5"/>
  <c r="X5" i="5"/>
  <c r="W10" i="5"/>
  <c r="W16" i="5" s="1"/>
  <c r="U30" i="5"/>
  <c r="U33" i="5" s="1"/>
  <c r="U34" i="5" s="1"/>
  <c r="U37" i="5" s="1"/>
  <c r="X4" i="5"/>
  <c r="W9" i="5"/>
  <c r="X9" i="5" l="1"/>
  <c r="X15" i="5" s="1"/>
  <c r="X7" i="5"/>
  <c r="Y5" i="5"/>
  <c r="X10" i="5"/>
  <c r="X16" i="5" s="1"/>
  <c r="U35" i="5"/>
  <c r="U38" i="5"/>
  <c r="W12" i="5"/>
  <c r="W14" i="5" s="1"/>
  <c r="V30" i="5"/>
  <c r="V31" i="5" s="1"/>
  <c r="U31" i="5"/>
  <c r="W15" i="5"/>
  <c r="Y4" i="5"/>
  <c r="Y9" i="5" l="1"/>
  <c r="Y15" i="5" s="1"/>
  <c r="Y7" i="5"/>
  <c r="V33" i="5"/>
  <c r="V34" i="5" s="1"/>
  <c r="V37" i="5" s="1"/>
  <c r="V38" i="5" s="1"/>
  <c r="Z5" i="5"/>
  <c r="Z10" i="5" s="1"/>
  <c r="Z16" i="5" s="1"/>
  <c r="Y10" i="5"/>
  <c r="Y16" i="5" s="1"/>
  <c r="X12" i="5"/>
  <c r="X14" i="5" s="1"/>
  <c r="W18" i="5"/>
  <c r="W30" i="5"/>
  <c r="Z4" i="5"/>
  <c r="Z7" i="5" l="1"/>
  <c r="V35" i="5"/>
  <c r="X30" i="5"/>
  <c r="X31" i="5" s="1"/>
  <c r="X18" i="5"/>
  <c r="Y12" i="5"/>
  <c r="Y14" i="5" s="1"/>
  <c r="Z9" i="5"/>
  <c r="Z12" i="5" s="1"/>
  <c r="W33" i="5"/>
  <c r="W34" i="5" s="1"/>
  <c r="W31" i="5"/>
  <c r="Z14" i="5" l="1"/>
  <c r="Z18" i="5" s="1"/>
  <c r="Y30" i="5"/>
  <c r="Y31" i="5" s="1"/>
  <c r="Y18" i="5"/>
  <c r="X33" i="5"/>
  <c r="X34" i="5" s="1"/>
  <c r="X37" i="5" s="1"/>
  <c r="X38" i="5" s="1"/>
  <c r="Z15" i="5"/>
  <c r="W37" i="5"/>
  <c r="W38" i="5" s="1"/>
  <c r="W35" i="5"/>
  <c r="Z30" i="5" l="1"/>
  <c r="Z31" i="5" s="1"/>
  <c r="X35" i="5"/>
  <c r="Y33" i="5"/>
  <c r="Y34" i="5" s="1"/>
  <c r="Y35" i="5" s="1"/>
  <c r="Z33" i="5" l="1"/>
  <c r="Z34" i="5" s="1"/>
  <c r="Z37" i="5" s="1"/>
  <c r="Y37" i="5"/>
  <c r="Y38" i="5" s="1"/>
  <c r="Z38" i="5" l="1"/>
  <c r="Z35" i="5"/>
</calcChain>
</file>

<file path=xl/sharedStrings.xml><?xml version="1.0" encoding="utf-8"?>
<sst xmlns="http://schemas.openxmlformats.org/spreadsheetml/2006/main" count="157" uniqueCount="135">
  <si>
    <t>Bar</t>
  </si>
  <si>
    <t>Avg. spend/customer</t>
  </si>
  <si>
    <t>Bartender/hr</t>
  </si>
  <si>
    <t>Rates</t>
  </si>
  <si>
    <t>Costs</t>
  </si>
  <si>
    <t>Revenue</t>
  </si>
  <si>
    <t>Avg. cocktail</t>
  </si>
  <si>
    <t>Lease/Mortgage</t>
  </si>
  <si>
    <t>Utilities</t>
  </si>
  <si>
    <t>Operating Costs</t>
  </si>
  <si>
    <t>Gross Profit Margin</t>
  </si>
  <si>
    <t># of bartenders</t>
  </si>
  <si>
    <t>Total Revenue</t>
  </si>
  <si>
    <t>COGS</t>
  </si>
  <si>
    <t>Total COGS</t>
  </si>
  <si>
    <t>Avg. Cockatil/person</t>
  </si>
  <si>
    <t>Other</t>
  </si>
  <si>
    <t>Approx sqft. Inside</t>
  </si>
  <si>
    <t>Outside</t>
  </si>
  <si>
    <t>Total Sqft</t>
  </si>
  <si>
    <t>Occupancy %</t>
  </si>
  <si>
    <t>Insurance</t>
  </si>
  <si>
    <t>Clients/night</t>
  </si>
  <si>
    <t>Gross Profit</t>
  </si>
  <si>
    <t>Days Open</t>
  </si>
  <si>
    <t>Week</t>
  </si>
  <si>
    <t>Month</t>
  </si>
  <si>
    <t>Hours/day</t>
  </si>
  <si>
    <t>Total Operating Costs</t>
  </si>
  <si>
    <t>Bar Gross Profit %</t>
  </si>
  <si>
    <t>Total Gross Profit %</t>
  </si>
  <si>
    <t>Operating Profit</t>
  </si>
  <si>
    <t>Operating Costs (monthly)</t>
  </si>
  <si>
    <t>Cover mult. per night</t>
  </si>
  <si>
    <t>Year 1</t>
  </si>
  <si>
    <t>Year 2</t>
  </si>
  <si>
    <t>Year 3</t>
  </si>
  <si>
    <t>Year 4</t>
  </si>
  <si>
    <t>Year 5</t>
  </si>
  <si>
    <t>Operating Profit Margin</t>
  </si>
  <si>
    <t>Payroll</t>
  </si>
  <si>
    <t>Management fee</t>
  </si>
  <si>
    <t>Other Costs</t>
  </si>
  <si>
    <t>Management Fees</t>
  </si>
  <si>
    <t>Taxes</t>
  </si>
  <si>
    <t>Rate</t>
  </si>
  <si>
    <t>Expected taxes</t>
  </si>
  <si>
    <t>Net Income</t>
  </si>
  <si>
    <t>Cash Avilable for Distribution</t>
  </si>
  <si>
    <t>Net Income %</t>
  </si>
  <si>
    <t>Reinvestment Rate</t>
  </si>
  <si>
    <t>Growth Rate</t>
  </si>
  <si>
    <t>Rentable Sqft</t>
  </si>
  <si>
    <t>Price/sqft</t>
  </si>
  <si>
    <t>Mortgage</t>
  </si>
  <si>
    <t>Lease</t>
  </si>
  <si>
    <t>Tax Analysis</t>
  </si>
  <si>
    <t>Op. Margin W/ Mortgage</t>
  </si>
  <si>
    <t>Op. Margin W/ Lease</t>
  </si>
  <si>
    <t>Total</t>
  </si>
  <si>
    <t>Variance</t>
  </si>
  <si>
    <t>Taxes w/ Mortgage</t>
  </si>
  <si>
    <t>Taxes w/ Lease</t>
  </si>
  <si>
    <t>Tax Savings</t>
  </si>
  <si>
    <t>% of Revenue</t>
  </si>
  <si>
    <t>Net var.</t>
  </si>
  <si>
    <t>Year 6</t>
  </si>
  <si>
    <t>Year 7</t>
  </si>
  <si>
    <t>Year 8</t>
  </si>
  <si>
    <t>Year 9</t>
  </si>
  <si>
    <t>Year 10</t>
  </si>
  <si>
    <t>Year 11</t>
  </si>
  <si>
    <t>Property Tax</t>
  </si>
  <si>
    <t>Max Occupancy inside</t>
  </si>
  <si>
    <t>Implied UA</t>
  </si>
  <si>
    <t>Exterior Occupancy</t>
  </si>
  <si>
    <t>Total Occupancy</t>
  </si>
  <si>
    <t>Year 1-5</t>
  </si>
  <si>
    <t>Year 5+</t>
  </si>
  <si>
    <t>Employee taxes</t>
  </si>
  <si>
    <t>SS</t>
  </si>
  <si>
    <t>Medicare</t>
  </si>
  <si>
    <t>Fed. Unemployment</t>
  </si>
  <si>
    <t>State Unemployment</t>
  </si>
  <si>
    <t>Tax Rate</t>
  </si>
  <si>
    <t>Pay %</t>
  </si>
  <si>
    <t>Annual Wages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</si>
  <si>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</si>
  <si>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</si>
  <si>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</si>
  <si>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</si>
  <si>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</si>
  <si>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</si>
  <si>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</si>
  <si>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</si>
  <si>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</si>
  <si>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Prime Cost Ratio</t>
  </si>
  <si>
    <t>Revenue/seat</t>
  </si>
  <si>
    <t>Rev./sqft</t>
  </si>
  <si>
    <t>Break-Even Point</t>
  </si>
  <si>
    <t>Days in a month</t>
  </si>
  <si>
    <t>Overhead Rate</t>
  </si>
  <si>
    <t>Avg. Rev</t>
  </si>
  <si>
    <t>Avg. Var. Costs</t>
  </si>
  <si>
    <t>Average. Fixed</t>
  </si>
  <si>
    <t>Yr</t>
  </si>
  <si>
    <t>Mo</t>
  </si>
  <si>
    <t>night</t>
  </si>
  <si>
    <t>RevPASH</t>
  </si>
  <si>
    <t>Expected Occupancy</t>
  </si>
  <si>
    <t>Barber</t>
  </si>
  <si>
    <t>Barber Gross Profit %</t>
  </si>
  <si>
    <t>% of Barber Rev. Share</t>
  </si>
  <si>
    <t># of Barbers</t>
  </si>
  <si>
    <t>Barber Rev. Share</t>
  </si>
  <si>
    <t>Hostess</t>
  </si>
  <si>
    <t>Hostess/hr</t>
  </si>
  <si>
    <t># of Chairs</t>
  </si>
  <si>
    <t>Day</t>
  </si>
  <si>
    <t>Weekend Rotations</t>
  </si>
  <si>
    <t>Weekday Rotations</t>
  </si>
  <si>
    <t>Weekend Days</t>
  </si>
  <si>
    <t>Weekdays</t>
  </si>
  <si>
    <t>Weighted avg. # of Clients/Day</t>
  </si>
  <si>
    <t>Income Model</t>
  </si>
  <si>
    <t>Share</t>
  </si>
  <si>
    <t>Rent/Chair/Day</t>
  </si>
  <si>
    <t>Rent/Chair/Week</t>
  </si>
  <si>
    <t>Subscriptions</t>
  </si>
  <si>
    <t>Subscriptions Gross Profit %</t>
  </si>
  <si>
    <t>Avg. Subscription $/Mo</t>
  </si>
  <si>
    <t>Multiplier</t>
  </si>
  <si>
    <t># of Subscriptions/Mo</t>
  </si>
  <si>
    <t>Churn Rate/Yr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</si>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</sst>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3" applyFont="1"/>
    <xf numFmtId="164" fontId="0" fillId="0" borderId="0" xfId="1" applyNumberFormat="1" applyFont="1"/>
    <xf numFmtId="165" fontId="0" fillId="0" borderId="0" xfId="2" applyNumberFormat="1" applyFont="1"/>
    <xf numFmtId="0" fontId="4" fillId="2" borderId="0" xfId="0" applyFont="1" applyFill="1"/>
    <xf numFmtId="164" fontId="0" fillId="0" borderId="1" xfId="1" applyNumberFormat="1" applyFont="1" applyBorder="1"/>
    <xf numFmtId="9" fontId="5" fillId="3" borderId="0" xfId="3" applyFont="1" applyFill="1"/>
    <xf numFmtId="165" fontId="5" fillId="3" borderId="0" xfId="2" applyNumberFormat="1" applyFont="1" applyFill="1"/>
    <xf numFmtId="164" fontId="5" fillId="3" borderId="0" xfId="1" applyNumberFormat="1" applyFont="1" applyFill="1"/>
    <xf numFmtId="0" fontId="5" fillId="3" borderId="0" xfId="0" applyFont="1" applyFill="1"/>
    <xf numFmtId="164" fontId="0" fillId="0" borderId="0" xfId="0" applyNumberFormat="1"/>
    <xf numFmtId="1" fontId="0" fillId="0" borderId="0" xfId="0" applyNumberFormat="1"/>
    <xf numFmtId="0" fontId="6" fillId="0" borderId="0" xfId="0" applyFont="1"/>
    <xf numFmtId="9" fontId="6" fillId="0" borderId="0" xfId="3" applyFont="1"/>
    <xf numFmtId="164" fontId="0" fillId="0" borderId="2" xfId="0" applyNumberFormat="1" applyBorder="1"/>
    <xf numFmtId="164" fontId="2" fillId="0" borderId="2" xfId="0" applyNumberFormat="1" applyFont="1" applyBorder="1"/>
    <xf numFmtId="164" fontId="2" fillId="0" borderId="2" xfId="1" applyNumberFormat="1" applyFont="1" applyBorder="1"/>
    <xf numFmtId="164" fontId="2" fillId="0" borderId="1" xfId="0" applyNumberFormat="1" applyFont="1" applyBorder="1"/>
    <xf numFmtId="43" fontId="5" fillId="3" borderId="0" xfId="0" applyNumberFormat="1" applyFont="1" applyFill="1"/>
    <xf numFmtId="164" fontId="2" fillId="0" borderId="0" xfId="0" applyNumberFormat="1" applyFont="1"/>
    <xf numFmtId="9" fontId="1" fillId="0" borderId="0" xfId="3" applyFont="1" applyBorder="1"/>
    <xf numFmtId="9" fontId="6" fillId="0" borderId="0" xfId="3" applyFont="1" applyBorder="1"/>
    <xf numFmtId="0" fontId="2" fillId="0" borderId="0" xfId="0" applyFont="1" applyAlignment="1">
      <alignment horizontal="center"/>
    </xf>
    <xf numFmtId="165" fontId="0" fillId="0" borderId="0" xfId="0" applyNumberFormat="1"/>
    <xf numFmtId="164" fontId="2" fillId="4" borderId="2" xfId="0" applyNumberFormat="1" applyFont="1" applyFill="1" applyBorder="1"/>
    <xf numFmtId="164" fontId="2" fillId="4" borderId="1" xfId="0" applyNumberFormat="1" applyFont="1" applyFill="1" applyBorder="1"/>
    <xf numFmtId="164" fontId="2" fillId="4" borderId="0" xfId="0" applyNumberFormat="1" applyFont="1" applyFill="1"/>
    <xf numFmtId="164" fontId="2" fillId="5" borderId="3" xfId="0" applyNumberFormat="1" applyFont="1" applyFill="1" applyBorder="1"/>
    <xf numFmtId="164" fontId="2" fillId="5" borderId="3" xfId="1" applyNumberFormat="1" applyFont="1" applyFill="1" applyBorder="1"/>
    <xf numFmtId="164" fontId="0" fillId="5" borderId="2" xfId="0" applyNumberFormat="1" applyFill="1" applyBorder="1"/>
    <xf numFmtId="164" fontId="0" fillId="5" borderId="0" xfId="0" applyNumberFormat="1" applyFill="1"/>
    <xf numFmtId="164" fontId="2" fillId="4" borderId="3" xfId="0" applyNumberFormat="1" applyFont="1" applyFill="1" applyBorder="1"/>
    <xf numFmtId="9" fontId="0" fillId="0" borderId="0" xfId="0" applyNumberFormat="1"/>
    <xf numFmtId="164" fontId="0" fillId="0" borderId="1" xfId="0" applyNumberFormat="1" applyBorder="1"/>
    <xf numFmtId="43" fontId="0" fillId="0" borderId="0" xfId="0" applyNumberFormat="1"/>
    <xf numFmtId="165" fontId="0" fillId="0" borderId="1" xfId="0" applyNumberFormat="1" applyBorder="1"/>
    <xf numFmtId="44" fontId="0" fillId="0" borderId="0" xfId="0" applyNumberFormat="1"/>
    <xf numFmtId="44" fontId="0" fillId="0" borderId="1" xfId="0" applyNumberFormat="1" applyBorder="1"/>
    <xf numFmtId="167" fontId="5" fillId="3" borderId="0" xfId="3" applyNumberFormat="1" applyFont="1" applyFill="1"/>
    <xf numFmtId="165" fontId="5" fillId="0" borderId="0" xfId="2" applyNumberFormat="1" applyFont="1" applyFill="1"/>
    <xf numFmtId="0" fontId="9" fillId="0" borderId="0" xfId="0" applyFont="1"/>
    <xf numFmtId="44" fontId="0" fillId="0" borderId="0" xfId="2" applyFont="1"/>
    <xf numFmtId="164" fontId="10" fillId="0" borderId="0" xfId="1" applyNumberFormat="1" applyFont="1" applyFill="1"/>
    <xf numFmtId="0" fontId="10" fillId="0" borderId="0" xfId="0" applyFont="1"/>
    <xf numFmtId="9" fontId="10" fillId="0" borderId="0" xfId="3" applyFont="1" applyFill="1"/>
    <xf numFmtId="164" fontId="11" fillId="6" borderId="0" xfId="0" applyNumberFormat="1" applyFont="1" applyFill="1"/>
    <xf numFmtId="9" fontId="5" fillId="3" borderId="0" xfId="3" applyFont="1" applyFill="1" applyAlignment="1">
      <alignment horizontal="center"/>
    </xf>
    <xf numFmtId="43" fontId="5" fillId="3" borderId="0" xfId="1" applyFont="1" applyFill="1"/>
    <xf numFmtId="0" fontId="8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0FCD-C1B7-41FB-9C2E-A9D9196BDDF4}">
  <dimension ref="A1:G89"/>
  <sheetViews>
    <sheetView showGridLines="0" tabSelected="1" zoomScale="74" zoomScaleNormal="90" workbookViewId="0">
      <selection activeCell="C81" sqref="C81"/>
    </sheetView>
  </sheetViews>
  <sheetFormatPr defaultRowHeight="15" x14ac:dyDescent="0.25"/>
  <cols>
    <col min="1" max="1" width="35.28515625" bestFit="1" customWidth="1"/>
    <col min="2" max="2" width="26.85546875" bestFit="1" customWidth="1"/>
    <col min="3" max="3" width="18.140625" bestFit="1" customWidth="1"/>
    <col min="4" max="4" width="13.85546875" bestFit="1" customWidth="1"/>
    <col min="5" max="6" width="17.28515625" bestFit="1" customWidth="1"/>
    <col min="7" max="7" width="9.5703125" bestFit="1" customWidth="1"/>
    <col min="8" max="8" width="13.28515625" bestFit="1" customWidth="1"/>
  </cols>
  <sheetData>
    <row r="1" spans="1:6" ht="18.75" x14ac:dyDescent="0.3">
      <c r="A1" s="2"/>
    </row>
    <row r="4" spans="1:6" ht="20.25" customHeight="1" x14ac:dyDescent="0.3">
      <c r="B4" s="6" t="s">
        <v>0</v>
      </c>
    </row>
    <row r="5" spans="1:6" x14ac:dyDescent="0.25">
      <c r="B5" s="1" t="s">
        <v>3</v>
      </c>
    </row>
    <row r="6" spans="1:6" x14ac:dyDescent="0.25">
      <c r="B6" t="s">
        <v>10</v>
      </c>
      <c r="C6" s="8">
        <v>0.7</v>
      </c>
      <c r="D6" s="3"/>
    </row>
    <row r="7" spans="1:6" x14ac:dyDescent="0.25">
      <c r="B7" s="1" t="s">
        <v>5</v>
      </c>
    </row>
    <row r="8" spans="1:6" x14ac:dyDescent="0.25">
      <c r="B8" t="s">
        <v>6</v>
      </c>
      <c r="C8" s="9">
        <v>18</v>
      </c>
      <c r="F8" s="36"/>
    </row>
    <row r="9" spans="1:6" x14ac:dyDescent="0.25">
      <c r="B9" t="s">
        <v>15</v>
      </c>
      <c r="C9" s="10">
        <v>2</v>
      </c>
    </row>
    <row r="10" spans="1:6" x14ac:dyDescent="0.25">
      <c r="B10" t="s">
        <v>1</v>
      </c>
      <c r="C10" s="41">
        <f>C8*C9</f>
        <v>36</v>
      </c>
      <c r="E10" s="36"/>
    </row>
    <row r="11" spans="1:6" x14ac:dyDescent="0.25">
      <c r="B11" s="1"/>
    </row>
    <row r="12" spans="1:6" x14ac:dyDescent="0.25">
      <c r="B12" s="1" t="s">
        <v>4</v>
      </c>
      <c r="C12" s="4"/>
      <c r="E12" s="36"/>
    </row>
    <row r="13" spans="1:6" x14ac:dyDescent="0.25">
      <c r="B13" t="s">
        <v>11</v>
      </c>
      <c r="C13" s="11">
        <v>2</v>
      </c>
      <c r="D13" s="25"/>
      <c r="E13" s="36"/>
    </row>
    <row r="14" spans="1:6" x14ac:dyDescent="0.25">
      <c r="B14" t="s">
        <v>2</v>
      </c>
      <c r="C14" s="9">
        <v>5</v>
      </c>
      <c r="E14" s="36"/>
    </row>
    <row r="15" spans="1:6" x14ac:dyDescent="0.25">
      <c r="B15" t="s">
        <v>115</v>
      </c>
      <c r="C15" s="11">
        <v>2</v>
      </c>
    </row>
    <row r="16" spans="1:6" x14ac:dyDescent="0.25">
      <c r="B16" t="s">
        <v>116</v>
      </c>
      <c r="C16" s="9">
        <v>15</v>
      </c>
    </row>
    <row r="19" spans="2:7" ht="18.75" x14ac:dyDescent="0.3">
      <c r="B19" s="6" t="s">
        <v>110</v>
      </c>
    </row>
    <row r="20" spans="2:7" s="1" customFormat="1" x14ac:dyDescent="0.25">
      <c r="B20" s="1" t="s">
        <v>5</v>
      </c>
      <c r="C20"/>
    </row>
    <row r="21" spans="2:7" x14ac:dyDescent="0.25">
      <c r="B21" t="s">
        <v>1</v>
      </c>
      <c r="C21" s="5">
        <v>60</v>
      </c>
    </row>
    <row r="22" spans="2:7" x14ac:dyDescent="0.25">
      <c r="B22" t="s">
        <v>112</v>
      </c>
      <c r="C22" s="8">
        <v>0.5</v>
      </c>
    </row>
    <row r="24" spans="2:7" x14ac:dyDescent="0.25">
      <c r="B24" t="s">
        <v>124</v>
      </c>
      <c r="C24" s="48" t="s">
        <v>125</v>
      </c>
    </row>
    <row r="25" spans="2:7" x14ac:dyDescent="0.25">
      <c r="B25" t="s">
        <v>127</v>
      </c>
      <c r="C25" s="9">
        <v>400</v>
      </c>
    </row>
    <row r="26" spans="2:7" x14ac:dyDescent="0.25">
      <c r="B26" t="s">
        <v>126</v>
      </c>
      <c r="C26" s="9">
        <f>C25/7</f>
        <v>57.142857142857146</v>
      </c>
    </row>
    <row r="27" spans="2:7" x14ac:dyDescent="0.25">
      <c r="B27" t="s">
        <v>117</v>
      </c>
      <c r="C27" s="11">
        <v>6</v>
      </c>
    </row>
    <row r="28" spans="2:7" x14ac:dyDescent="0.25">
      <c r="B28" t="s">
        <v>120</v>
      </c>
      <c r="C28" s="11">
        <v>3</v>
      </c>
    </row>
    <row r="29" spans="2:7" x14ac:dyDescent="0.25">
      <c r="B29" t="s">
        <v>119</v>
      </c>
      <c r="C29" s="11">
        <v>10</v>
      </c>
    </row>
    <row r="30" spans="2:7" x14ac:dyDescent="0.25">
      <c r="B30" t="s">
        <v>122</v>
      </c>
      <c r="C30" s="11">
        <v>4</v>
      </c>
    </row>
    <row r="31" spans="2:7" x14ac:dyDescent="0.25">
      <c r="B31" t="s">
        <v>121</v>
      </c>
      <c r="C31" s="11">
        <v>2</v>
      </c>
      <c r="E31" s="36"/>
      <c r="F31" s="36"/>
      <c r="G31" s="36"/>
    </row>
    <row r="33" spans="2:3" x14ac:dyDescent="0.25">
      <c r="B33" t="s">
        <v>123</v>
      </c>
      <c r="C33">
        <f>(($C$27*$C$28)*($C$30/$C$72))+(($C$31/$C$72)*($C$27*$C$29))</f>
        <v>32</v>
      </c>
    </row>
    <row r="35" spans="2:3" x14ac:dyDescent="0.25">
      <c r="B35" t="s">
        <v>130</v>
      </c>
      <c r="C35" s="41">
        <f>C21*C36</f>
        <v>90</v>
      </c>
    </row>
    <row r="36" spans="2:3" x14ac:dyDescent="0.25">
      <c r="B36" t="s">
        <v>131</v>
      </c>
      <c r="C36" s="49">
        <v>1.5</v>
      </c>
    </row>
    <row r="37" spans="2:3" x14ac:dyDescent="0.25">
      <c r="B37" t="s">
        <v>132</v>
      </c>
      <c r="C37" s="49">
        <v>10</v>
      </c>
    </row>
    <row r="38" spans="2:3" x14ac:dyDescent="0.25">
      <c r="B38" t="s">
        <v>133</v>
      </c>
      <c r="C38" s="8">
        <v>0.02</v>
      </c>
    </row>
    <row r="41" spans="2:3" x14ac:dyDescent="0.25">
      <c r="B41" s="1" t="s">
        <v>4</v>
      </c>
    </row>
    <row r="42" spans="2:3" x14ac:dyDescent="0.25">
      <c r="B42" t="s">
        <v>113</v>
      </c>
      <c r="C42" s="45">
        <f>C27</f>
        <v>6</v>
      </c>
    </row>
    <row r="43" spans="2:3" x14ac:dyDescent="0.25">
      <c r="B43" t="s">
        <v>114</v>
      </c>
      <c r="C43" s="46">
        <f>1-C22</f>
        <v>0.5</v>
      </c>
    </row>
    <row r="46" spans="2:3" ht="18.75" x14ac:dyDescent="0.3">
      <c r="B46" s="6" t="s">
        <v>9</v>
      </c>
    </row>
    <row r="47" spans="2:3" x14ac:dyDescent="0.25">
      <c r="B47" s="1" t="s">
        <v>32</v>
      </c>
    </row>
    <row r="48" spans="2:3" x14ac:dyDescent="0.25">
      <c r="B48" t="s">
        <v>7</v>
      </c>
      <c r="C48" s="11" t="s">
        <v>55</v>
      </c>
    </row>
    <row r="49" spans="2:6" x14ac:dyDescent="0.25">
      <c r="B49" t="s">
        <v>52</v>
      </c>
      <c r="C49" s="10">
        <v>1200</v>
      </c>
    </row>
    <row r="50" spans="2:6" x14ac:dyDescent="0.25">
      <c r="B50" t="s">
        <v>53</v>
      </c>
      <c r="C50" s="9">
        <v>50</v>
      </c>
    </row>
    <row r="51" spans="2:6" x14ac:dyDescent="0.25">
      <c r="B51" t="s">
        <v>55</v>
      </c>
      <c r="C51" s="21">
        <f>(C49*C50)/12</f>
        <v>5000</v>
      </c>
      <c r="D51" s="12"/>
    </row>
    <row r="52" spans="2:6" x14ac:dyDescent="0.25">
      <c r="B52" t="s">
        <v>54</v>
      </c>
      <c r="C52" s="9">
        <v>0</v>
      </c>
      <c r="D52" s="25"/>
      <c r="E52" s="25"/>
    </row>
    <row r="53" spans="2:6" x14ac:dyDescent="0.25">
      <c r="B53" t="s">
        <v>8</v>
      </c>
      <c r="C53" s="9">
        <v>2000</v>
      </c>
    </row>
    <row r="54" spans="2:6" x14ac:dyDescent="0.25">
      <c r="B54" t="s">
        <v>21</v>
      </c>
      <c r="C54" s="9">
        <v>300</v>
      </c>
    </row>
    <row r="55" spans="2:6" x14ac:dyDescent="0.25">
      <c r="B55" t="s">
        <v>43</v>
      </c>
      <c r="C55" s="9">
        <v>0</v>
      </c>
      <c r="E55" s="25"/>
      <c r="F55" s="25"/>
    </row>
    <row r="56" spans="2:6" x14ac:dyDescent="0.25">
      <c r="B56" t="s">
        <v>42</v>
      </c>
      <c r="C56" s="9">
        <v>2000</v>
      </c>
      <c r="E56" s="25"/>
    </row>
    <row r="57" spans="2:6" x14ac:dyDescent="0.25">
      <c r="B57" t="s">
        <v>50</v>
      </c>
      <c r="C57" s="8">
        <v>0.1</v>
      </c>
    </row>
    <row r="59" spans="2:6" x14ac:dyDescent="0.25">
      <c r="B59" s="1" t="s">
        <v>16</v>
      </c>
    </row>
    <row r="60" spans="2:6" x14ac:dyDescent="0.25">
      <c r="B60" t="s">
        <v>17</v>
      </c>
      <c r="C60" s="44">
        <f>C49</f>
        <v>1200</v>
      </c>
    </row>
    <row r="61" spans="2:6" x14ac:dyDescent="0.25">
      <c r="B61" t="s">
        <v>18</v>
      </c>
      <c r="C61" s="10">
        <v>0</v>
      </c>
    </row>
    <row r="62" spans="2:6" ht="15.75" thickBot="1" x14ac:dyDescent="0.3">
      <c r="B62" t="s">
        <v>19</v>
      </c>
      <c r="C62" s="7">
        <f>SUM(C60:C61)</f>
        <v>1200</v>
      </c>
    </row>
    <row r="63" spans="2:6" ht="15.75" thickTop="1" x14ac:dyDescent="0.25">
      <c r="B63" t="s">
        <v>73</v>
      </c>
      <c r="C63" s="11">
        <v>60</v>
      </c>
    </row>
    <row r="64" spans="2:6" x14ac:dyDescent="0.25">
      <c r="B64" t="s">
        <v>74</v>
      </c>
      <c r="C64" s="12">
        <f>C60/C63</f>
        <v>20</v>
      </c>
    </row>
    <row r="65" spans="2:4" x14ac:dyDescent="0.25">
      <c r="B65" t="s">
        <v>75</v>
      </c>
      <c r="C65" s="4">
        <f>C61/C64</f>
        <v>0</v>
      </c>
      <c r="D65" s="12"/>
    </row>
    <row r="66" spans="2:4" x14ac:dyDescent="0.25">
      <c r="B66" t="s">
        <v>20</v>
      </c>
      <c r="C66" s="8">
        <v>0.5</v>
      </c>
    </row>
    <row r="67" spans="2:4" x14ac:dyDescent="0.25">
      <c r="B67" t="s">
        <v>76</v>
      </c>
      <c r="C67" s="12">
        <f>C63+C65</f>
        <v>60</v>
      </c>
    </row>
    <row r="68" spans="2:4" x14ac:dyDescent="0.25">
      <c r="B68" t="s">
        <v>109</v>
      </c>
      <c r="C68" s="47">
        <f>C63*C66</f>
        <v>30</v>
      </c>
    </row>
    <row r="70" spans="2:4" x14ac:dyDescent="0.25">
      <c r="B70" t="s">
        <v>33</v>
      </c>
      <c r="C70" s="20">
        <v>1.5</v>
      </c>
    </row>
    <row r="71" spans="2:4" x14ac:dyDescent="0.25">
      <c r="B71" t="s">
        <v>22</v>
      </c>
      <c r="C71" s="13">
        <f>C68*C70</f>
        <v>45</v>
      </c>
      <c r="D71" s="36"/>
    </row>
    <row r="72" spans="2:4" x14ac:dyDescent="0.25">
      <c r="B72" t="s">
        <v>24</v>
      </c>
      <c r="C72" s="11">
        <v>6</v>
      </c>
    </row>
    <row r="73" spans="2:4" x14ac:dyDescent="0.25">
      <c r="B73" t="s">
        <v>27</v>
      </c>
      <c r="C73" s="11">
        <v>6</v>
      </c>
    </row>
    <row r="74" spans="2:4" x14ac:dyDescent="0.25">
      <c r="B74" t="s">
        <v>100</v>
      </c>
      <c r="C74">
        <v>30</v>
      </c>
    </row>
    <row r="75" spans="2:4" x14ac:dyDescent="0.25">
      <c r="B75" s="1" t="s">
        <v>44</v>
      </c>
    </row>
    <row r="76" spans="2:4" x14ac:dyDescent="0.25">
      <c r="B76" t="s">
        <v>45</v>
      </c>
      <c r="C76" s="8">
        <v>0.31</v>
      </c>
    </row>
    <row r="78" spans="2:4" x14ac:dyDescent="0.25">
      <c r="C78" s="1" t="s">
        <v>51</v>
      </c>
    </row>
    <row r="79" spans="2:4" x14ac:dyDescent="0.25">
      <c r="B79" t="s">
        <v>77</v>
      </c>
      <c r="C79" s="8">
        <v>0.05</v>
      </c>
    </row>
    <row r="80" spans="2:4" x14ac:dyDescent="0.25">
      <c r="B80" t="s">
        <v>78</v>
      </c>
      <c r="C80" s="8">
        <v>0.02</v>
      </c>
    </row>
    <row r="81" spans="2:7" x14ac:dyDescent="0.25">
      <c r="B81" t="s">
        <v>134</v>
      </c>
      <c r="C81" s="8">
        <v>0.02</v>
      </c>
    </row>
    <row r="83" spans="2:7" x14ac:dyDescent="0.25">
      <c r="B83" s="1" t="s">
        <v>79</v>
      </c>
      <c r="C83" s="1" t="s">
        <v>84</v>
      </c>
      <c r="D83" s="1" t="s">
        <v>86</v>
      </c>
      <c r="E83" s="1" t="s">
        <v>44</v>
      </c>
      <c r="F83" s="1" t="s">
        <v>85</v>
      </c>
      <c r="G83" s="1" t="s">
        <v>44</v>
      </c>
    </row>
    <row r="84" spans="2:7" x14ac:dyDescent="0.25">
      <c r="B84" t="s">
        <v>80</v>
      </c>
      <c r="C84" s="40">
        <v>6.2E-2</v>
      </c>
      <c r="D84" s="25">
        <f>Projections!$G$21</f>
        <v>69120</v>
      </c>
      <c r="E84" s="38">
        <f>C84*D84</f>
        <v>4285.4399999999996</v>
      </c>
      <c r="F84" s="3">
        <v>0.5</v>
      </c>
      <c r="G84" s="25">
        <f>E84*F84</f>
        <v>2142.7199999999998</v>
      </c>
    </row>
    <row r="85" spans="2:7" x14ac:dyDescent="0.25">
      <c r="B85" t="s">
        <v>81</v>
      </c>
      <c r="C85" s="40">
        <v>1.4E-2</v>
      </c>
      <c r="D85" s="25">
        <f>Projections!$G$21</f>
        <v>69120</v>
      </c>
      <c r="E85" s="38">
        <f t="shared" ref="E85:E87" si="0">C85*D85</f>
        <v>967.68000000000006</v>
      </c>
      <c r="F85" s="3">
        <v>0.5</v>
      </c>
      <c r="G85" s="25">
        <f t="shared" ref="G85:G87" si="1">E85*F85</f>
        <v>483.84000000000003</v>
      </c>
    </row>
    <row r="86" spans="2:7" x14ac:dyDescent="0.25">
      <c r="B86" t="s">
        <v>82</v>
      </c>
      <c r="C86" s="40">
        <v>0.06</v>
      </c>
      <c r="D86" s="25">
        <f>Projections!$G$21</f>
        <v>69120</v>
      </c>
      <c r="E86" s="38">
        <f t="shared" si="0"/>
        <v>4147.2</v>
      </c>
      <c r="F86" s="3">
        <v>1</v>
      </c>
      <c r="G86" s="25">
        <f t="shared" si="1"/>
        <v>4147.2</v>
      </c>
    </row>
    <row r="87" spans="2:7" x14ac:dyDescent="0.25">
      <c r="B87" t="s">
        <v>83</v>
      </c>
      <c r="C87" s="40">
        <v>0.05</v>
      </c>
      <c r="D87" s="25">
        <f>Projections!$G$21</f>
        <v>69120</v>
      </c>
      <c r="E87" s="38">
        <f t="shared" si="0"/>
        <v>3456</v>
      </c>
      <c r="F87" s="3">
        <v>1</v>
      </c>
      <c r="G87" s="25">
        <f t="shared" si="1"/>
        <v>3456</v>
      </c>
    </row>
    <row r="88" spans="2:7" ht="15.75" thickBot="1" x14ac:dyDescent="0.3">
      <c r="E88" s="39">
        <f>SUM(E84:E87)</f>
        <v>12856.32</v>
      </c>
      <c r="G88" s="37">
        <f>SUM(G84:G87)</f>
        <v>10229.76</v>
      </c>
    </row>
    <row r="89" spans="2:7" ht="15.75" thickTop="1" x14ac:dyDescent="0.25"/>
  </sheetData>
  <dataValidations disablePrompts="1" count="2">
    <dataValidation type="list" allowBlank="1" showInputMessage="1" showErrorMessage="1" sqref="C48" xr:uid="{A526E3F8-7EA9-422E-B69C-1902BC7E33E2}">
      <formula1>"Lease, Mortgage"</formula1>
    </dataValidation>
    <dataValidation type="list" allowBlank="1" showInputMessage="1" showErrorMessage="1" sqref="C24" xr:uid="{CC2C4A27-D6AE-4A41-B04F-FFCD451D1EF5}">
      <formula1>"Share, Rent"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0D1F-C1F7-4360-9439-C6A43F76A6BE}">
  <dimension ref="B1:Z73"/>
  <sheetViews>
    <sheetView showGridLines="0" zoomScale="82" zoomScaleNormal="115" workbookViewId="0">
      <selection activeCell="H38" sqref="H38"/>
    </sheetView>
  </sheetViews>
  <sheetFormatPr defaultRowHeight="15" outlineLevelCol="1" x14ac:dyDescent="0.25"/>
  <cols>
    <col min="1" max="1" width="4.42578125" customWidth="1"/>
    <col min="2" max="2" width="28.42578125" customWidth="1"/>
    <col min="3" max="3" width="13.42578125" bestFit="1" customWidth="1"/>
    <col min="4" max="4" width="13" hidden="1" customWidth="1" outlineLevel="1"/>
    <col min="5" max="5" width="10.7109375" hidden="1" customWidth="1" outlineLevel="1"/>
    <col min="6" max="6" width="14.5703125" hidden="1" customWidth="1" outlineLevel="1"/>
    <col min="7" max="7" width="14.85546875" bestFit="1" customWidth="1" collapsed="1"/>
    <col min="8" max="11" width="11.85546875" bestFit="1" customWidth="1"/>
    <col min="12" max="12" width="14.85546875" bestFit="1" customWidth="1"/>
    <col min="13" max="26" width="11.85546875" bestFit="1" customWidth="1"/>
  </cols>
  <sheetData>
    <row r="1" spans="2:26" x14ac:dyDescent="0.25">
      <c r="G1" s="42">
        <v>1</v>
      </c>
      <c r="H1" s="42">
        <f>G1+1</f>
        <v>2</v>
      </c>
      <c r="I1" s="42">
        <f t="shared" ref="I1:Z1" si="0">H1+1</f>
        <v>3</v>
      </c>
      <c r="J1" s="42">
        <f t="shared" si="0"/>
        <v>4</v>
      </c>
      <c r="K1" s="42">
        <f t="shared" si="0"/>
        <v>5</v>
      </c>
      <c r="L1" s="42">
        <f t="shared" si="0"/>
        <v>6</v>
      </c>
      <c r="M1" s="42">
        <f t="shared" si="0"/>
        <v>7</v>
      </c>
      <c r="N1" s="42">
        <f t="shared" si="0"/>
        <v>8</v>
      </c>
      <c r="O1" s="42">
        <f t="shared" si="0"/>
        <v>9</v>
      </c>
      <c r="P1" s="42">
        <f t="shared" si="0"/>
        <v>10</v>
      </c>
      <c r="Q1" s="42">
        <f t="shared" si="0"/>
        <v>11</v>
      </c>
      <c r="R1" s="42">
        <f t="shared" si="0"/>
        <v>12</v>
      </c>
      <c r="S1" s="42">
        <f t="shared" si="0"/>
        <v>13</v>
      </c>
      <c r="T1" s="42">
        <f t="shared" si="0"/>
        <v>14</v>
      </c>
      <c r="U1" s="42">
        <f t="shared" si="0"/>
        <v>15</v>
      </c>
      <c r="V1" s="42">
        <f t="shared" si="0"/>
        <v>16</v>
      </c>
      <c r="W1" s="42">
        <f t="shared" si="0"/>
        <v>17</v>
      </c>
      <c r="X1" s="42">
        <f t="shared" si="0"/>
        <v>18</v>
      </c>
      <c r="Y1" s="42">
        <f t="shared" si="0"/>
        <v>19</v>
      </c>
      <c r="Z1" s="42">
        <f t="shared" si="0"/>
        <v>20</v>
      </c>
    </row>
    <row r="2" spans="2:26" x14ac:dyDescent="0.25">
      <c r="G2" s="24" t="s">
        <v>34</v>
      </c>
      <c r="H2" s="24" t="s">
        <v>35</v>
      </c>
      <c r="I2" s="24" t="s">
        <v>36</v>
      </c>
      <c r="J2" s="24" t="s">
        <v>37</v>
      </c>
      <c r="K2" s="24" t="s">
        <v>38</v>
      </c>
      <c r="L2" s="24" t="s">
        <v>66</v>
      </c>
      <c r="M2" s="24" t="s">
        <v>67</v>
      </c>
      <c r="N2" s="24" t="s">
        <v>68</v>
      </c>
      <c r="O2" s="24" t="s">
        <v>69</v>
      </c>
      <c r="P2" s="24" t="s">
        <v>70</v>
      </c>
      <c r="Q2" s="24" t="s">
        <v>71</v>
      </c>
      <c r="R2" s="24" t="s">
        <v>87</v>
      </c>
      <c r="S2" s="24" t="s">
        <v>88</v>
      </c>
      <c r="T2" s="24" t="s">
        <v>89</v>
      </c>
      <c r="U2" s="24" t="s">
        <v>90</v>
      </c>
      <c r="V2" s="24" t="s">
        <v>91</v>
      </c>
      <c r="W2" s="24" t="s">
        <v>92</v>
      </c>
      <c r="X2" s="24" t="s">
        <v>93</v>
      </c>
      <c r="Y2" s="24" t="s">
        <v>94</v>
      </c>
      <c r="Z2" s="24" t="s">
        <v>95</v>
      </c>
    </row>
    <row r="3" spans="2:26" x14ac:dyDescent="0.25">
      <c r="B3" s="1" t="s">
        <v>5</v>
      </c>
      <c r="C3" s="1" t="s">
        <v>64</v>
      </c>
      <c r="D3" s="24" t="s">
        <v>118</v>
      </c>
      <c r="E3" s="24" t="s">
        <v>25</v>
      </c>
      <c r="F3" s="24" t="s">
        <v>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x14ac:dyDescent="0.25">
      <c r="B4" t="s">
        <v>0</v>
      </c>
      <c r="C4" s="3">
        <f>AVERAGE(G4:K4)/AVERAGE($G$7:$K$7)</f>
        <v>0.45302535581514908</v>
      </c>
      <c r="D4" s="4">
        <f>Inputs!C10*Inputs!C71</f>
        <v>1620</v>
      </c>
      <c r="E4" s="12">
        <f>D4*Inputs!$C$72</f>
        <v>9720</v>
      </c>
      <c r="F4" s="12">
        <f>E4*4</f>
        <v>38880</v>
      </c>
      <c r="G4" s="12">
        <f>F4*12</f>
        <v>466560</v>
      </c>
      <c r="H4" s="12">
        <f>G4*(1+IF(H$1&lt;=5,Inputs!$C$79,Inputs!$C$80))</f>
        <v>489888</v>
      </c>
      <c r="I4" s="12">
        <f>H4*(1+IF(I$1&lt;=5,Inputs!$C$79,Inputs!$C$80))</f>
        <v>514382.4</v>
      </c>
      <c r="J4" s="12">
        <f>I4*(1+IF(J$1&lt;=5,Inputs!$C$79,Inputs!$C$80))</f>
        <v>540101.52</v>
      </c>
      <c r="K4" s="12">
        <f>J4*(1+IF(K$1&lt;=5,Inputs!$C$79,Inputs!$C$80))</f>
        <v>567106.59600000002</v>
      </c>
      <c r="L4" s="12">
        <f>K4*(1+IF(L$1&lt;=5,Inputs!$C$79,Inputs!$C$80))</f>
        <v>578448.72791999998</v>
      </c>
      <c r="M4" s="12">
        <f>L4*(1+IF(M$1&lt;=5,Inputs!$C$79,Inputs!$C$80))</f>
        <v>590017.70247839997</v>
      </c>
      <c r="N4" s="12">
        <f>M4*(1+IF(N$1&lt;=5,Inputs!$C$79,Inputs!$C$80))</f>
        <v>601818.05652796803</v>
      </c>
      <c r="O4" s="12">
        <f>N4*(1+IF(O$1&lt;=5,Inputs!$C$79,Inputs!$C$80))</f>
        <v>613854.41765852738</v>
      </c>
      <c r="P4" s="12">
        <f>O4*(1+IF(P$1&lt;=5,Inputs!$C$79,Inputs!$C$80))</f>
        <v>626131.50601169793</v>
      </c>
      <c r="Q4" s="12">
        <f>P4*(1+IF(Q$1&lt;=5,Inputs!$C$79,Inputs!$C$80))</f>
        <v>638654.13613193191</v>
      </c>
      <c r="R4" s="12">
        <f>Q4*(1+IF(R$1&lt;=5,Inputs!$C$79,Inputs!$C$80))</f>
        <v>651427.21885457053</v>
      </c>
      <c r="S4" s="12">
        <f>R4*(1+IF(S$1&lt;=5,Inputs!$C$79,Inputs!$C$80))</f>
        <v>664455.76323166199</v>
      </c>
      <c r="T4" s="12">
        <f>S4*(1+IF(T$1&lt;=5,Inputs!$C$79,Inputs!$C$80))</f>
        <v>677744.87849629519</v>
      </c>
      <c r="U4" s="12">
        <f>T4*(1+IF(U$1&lt;=5,Inputs!$C$79,Inputs!$C$80))</f>
        <v>691299.77606622106</v>
      </c>
      <c r="V4" s="12">
        <f>U4*(1+IF(V$1&lt;=5,Inputs!$C$79,Inputs!$C$80))</f>
        <v>705125.77158754552</v>
      </c>
      <c r="W4" s="12">
        <f>V4*(1+IF(W$1&lt;=5,Inputs!$C$79,Inputs!$C$80))</f>
        <v>719228.28701929643</v>
      </c>
      <c r="X4" s="12">
        <f>W4*(1+IF(X$1&lt;=5,Inputs!$C$79,Inputs!$C$80))</f>
        <v>733612.85275968234</v>
      </c>
      <c r="Y4" s="12">
        <f>X4*(1+IF(Y$1&lt;=5,Inputs!$C$79,Inputs!$C$80))</f>
        <v>748285.10981487599</v>
      </c>
      <c r="Z4" s="12">
        <f>Y4*(1+IF(Z$1&lt;=5,Inputs!$C$79,Inputs!$C$80))</f>
        <v>763250.81201117358</v>
      </c>
    </row>
    <row r="5" spans="2:26" x14ac:dyDescent="0.25">
      <c r="B5" t="s">
        <v>110</v>
      </c>
      <c r="C5" s="3">
        <f>AVERAGE(G5:K5)/AVERAGE($G$7:$K$7)</f>
        <v>0.5369189402253618</v>
      </c>
      <c r="D5" s="4">
        <f>IF(Inputs!$C$24="Share",(Inputs!$C$33*Inputs!$C$21),Inputs!$C$26*Inputs!$C$27)</f>
        <v>1920</v>
      </c>
      <c r="E5" s="12">
        <f>D5*Inputs!$C$72</f>
        <v>11520</v>
      </c>
      <c r="F5" s="12">
        <f t="shared" ref="F5:F7" si="1">E5*4</f>
        <v>46080</v>
      </c>
      <c r="G5" s="12">
        <f>F5*12</f>
        <v>552960</v>
      </c>
      <c r="H5" s="12">
        <f>G5*(1+IF(H$1&lt;=5,Inputs!$C$79,Inputs!$C$80))</f>
        <v>580608</v>
      </c>
      <c r="I5" s="12">
        <f>H5*(1+IF(I$1&lt;=5,Inputs!$C$79,Inputs!$C$80))</f>
        <v>609638.40000000002</v>
      </c>
      <c r="J5" s="12">
        <f>I5*(1+IF(J$1&lt;=5,Inputs!$C$79,Inputs!$C$80))</f>
        <v>640120.32000000007</v>
      </c>
      <c r="K5" s="12">
        <f>J5*(1+IF(K$1&lt;=5,Inputs!$C$79,Inputs!$C$80))</f>
        <v>672126.33600000013</v>
      </c>
      <c r="L5" s="12">
        <f>K5*(1+IF(L$1&lt;=5,Inputs!$C$79,Inputs!$C$80))</f>
        <v>685568.86272000009</v>
      </c>
      <c r="M5" s="12">
        <f>L5*(1+IF(M$1&lt;=5,Inputs!$C$79,Inputs!$C$80))</f>
        <v>699280.23997440015</v>
      </c>
      <c r="N5" s="12">
        <f>M5*(1+IF(N$1&lt;=5,Inputs!$C$79,Inputs!$C$80))</f>
        <v>713265.84477388812</v>
      </c>
      <c r="O5" s="12">
        <f>N5*(1+IF(O$1&lt;=5,Inputs!$C$79,Inputs!$C$80))</f>
        <v>727531.16166936595</v>
      </c>
      <c r="P5" s="12">
        <f>O5*(1+IF(P$1&lt;=5,Inputs!$C$79,Inputs!$C$80))</f>
        <v>742081.78490275331</v>
      </c>
      <c r="Q5" s="12">
        <f>P5*(1+IF(Q$1&lt;=5,Inputs!$C$79,Inputs!$C$80))</f>
        <v>756923.42060080834</v>
      </c>
      <c r="R5" s="12">
        <f>Q5*(1+IF(R$1&lt;=5,Inputs!$C$79,Inputs!$C$80))</f>
        <v>772061.88901282451</v>
      </c>
      <c r="S5" s="12">
        <f>R5*(1+IF(S$1&lt;=5,Inputs!$C$79,Inputs!$C$80))</f>
        <v>787503.12679308106</v>
      </c>
      <c r="T5" s="12">
        <f>S5*(1+IF(T$1&lt;=5,Inputs!$C$79,Inputs!$C$80))</f>
        <v>803253.18932894268</v>
      </c>
      <c r="U5" s="12">
        <f>T5*(1+IF(U$1&lt;=5,Inputs!$C$79,Inputs!$C$80))</f>
        <v>819318.25311552151</v>
      </c>
      <c r="V5" s="12">
        <f>U5*(1+IF(V$1&lt;=5,Inputs!$C$79,Inputs!$C$80))</f>
        <v>835704.61817783199</v>
      </c>
      <c r="W5" s="12">
        <f>V5*(1+IF(W$1&lt;=5,Inputs!$C$79,Inputs!$C$80))</f>
        <v>852418.7105413886</v>
      </c>
      <c r="X5" s="12">
        <f>W5*(1+IF(X$1&lt;=5,Inputs!$C$79,Inputs!$C$80))</f>
        <v>869467.08475221635</v>
      </c>
      <c r="Y5" s="12">
        <f>X5*(1+IF(Y$1&lt;=5,Inputs!$C$79,Inputs!$C$80))</f>
        <v>886856.42644726066</v>
      </c>
      <c r="Z5" s="12">
        <f>Y5*(1+IF(Z$1&lt;=5,Inputs!$C$79,Inputs!$C$80))</f>
        <v>904593.55497620592</v>
      </c>
    </row>
    <row r="6" spans="2:26" x14ac:dyDescent="0.25">
      <c r="B6" t="s">
        <v>128</v>
      </c>
      <c r="C6" s="3">
        <f>AVERAGE(G6:K6)/AVERAGE($G$7:$K$7)</f>
        <v>1.0055703959488897E-2</v>
      </c>
      <c r="D6" s="4">
        <f>E6/Inputs!$C$72</f>
        <v>37.5</v>
      </c>
      <c r="E6" s="12">
        <f>F6/4</f>
        <v>225</v>
      </c>
      <c r="F6" s="12">
        <f>Inputs!$C$35*Inputs!C37</f>
        <v>900</v>
      </c>
      <c r="G6" s="12">
        <f t="shared" ref="G6:G12" si="2">F6*12</f>
        <v>10800</v>
      </c>
      <c r="H6" s="12">
        <f>G6*(1+IF(H$1&lt;=5,Inputs!$C$79,Inputs!$C$80))*(1-Inputs!$C$38)</f>
        <v>11113.199999999999</v>
      </c>
      <c r="I6" s="12">
        <f>H6*(1+IF(I$1&lt;=5,Inputs!$C$79,Inputs!$C$80))*(1-Inputs!$C$38)</f>
        <v>11435.482799999998</v>
      </c>
      <c r="J6" s="12">
        <f>I6*(1+IF(J$1&lt;=5,Inputs!$C$79,Inputs!$C$80))*(1-Inputs!$C$38)</f>
        <v>11767.111801199997</v>
      </c>
      <c r="K6" s="12">
        <f>J6*(1+IF(K$1&lt;=5,Inputs!$C$79,Inputs!$C$80))*(1-Inputs!$C$38)</f>
        <v>12108.358043434797</v>
      </c>
      <c r="L6" s="12">
        <f>K6*(1+IF(L$1&lt;=5,Inputs!$C$79,Inputs!$C$80))*(1-Inputs!$C$38)</f>
        <v>12103.514700217422</v>
      </c>
      <c r="M6" s="12">
        <f>L6*(1+IF(M$1&lt;=5,Inputs!$C$79,Inputs!$C$80))*(1-Inputs!$C$38)</f>
        <v>12098.673294337334</v>
      </c>
      <c r="N6" s="12">
        <f>M6*(1+IF(N$1&lt;=5,Inputs!$C$79,Inputs!$C$80))*(1-Inputs!$C$38)</f>
        <v>12093.833825019599</v>
      </c>
      <c r="O6" s="12">
        <f>N6*(1+IF(O$1&lt;=5,Inputs!$C$79,Inputs!$C$80))*(1-Inputs!$C$38)</f>
        <v>12088.996291489591</v>
      </c>
      <c r="P6" s="12">
        <f>O6*(1+IF(P$1&lt;=5,Inputs!$C$79,Inputs!$C$80))*(1-Inputs!$C$38)</f>
        <v>12084.160692972997</v>
      </c>
      <c r="Q6" s="12">
        <f>P6*(1+IF(Q$1&lt;=5,Inputs!$C$79,Inputs!$C$80))*(1-Inputs!$C$38)</f>
        <v>12079.327028695807</v>
      </c>
      <c r="R6" s="12">
        <f>Q6*(1+IF(R$1&lt;=5,Inputs!$C$79,Inputs!$C$80))*(1-Inputs!$C$38)</f>
        <v>12074.495297884328</v>
      </c>
      <c r="S6" s="12">
        <f>R6*(1+IF(S$1&lt;=5,Inputs!$C$79,Inputs!$C$80))*(1-Inputs!$C$38)</f>
        <v>12069.665499765175</v>
      </c>
      <c r="T6" s="12">
        <f>S6*(1+IF(T$1&lt;=5,Inputs!$C$79,Inputs!$C$80))*(1-Inputs!$C$38)</f>
        <v>12064.837633565268</v>
      </c>
      <c r="U6" s="12">
        <f>T6*(1+IF(U$1&lt;=5,Inputs!$C$79,Inputs!$C$80))*(1-Inputs!$C$38)</f>
        <v>12060.011698511842</v>
      </c>
      <c r="V6" s="12">
        <f>U6*(1+IF(V$1&lt;=5,Inputs!$C$79,Inputs!$C$80))*(1-Inputs!$C$38)</f>
        <v>12055.187693832439</v>
      </c>
      <c r="W6" s="12">
        <f>V6*(1+IF(W$1&lt;=5,Inputs!$C$79,Inputs!$C$80))*(1-Inputs!$C$38)</f>
        <v>12050.365618754906</v>
      </c>
      <c r="X6" s="12">
        <f>W6*(1+IF(X$1&lt;=5,Inputs!$C$79,Inputs!$C$80))*(1-Inputs!$C$38)</f>
        <v>12045.545472507405</v>
      </c>
      <c r="Y6" s="12">
        <f>X6*(1+IF(Y$1&lt;=5,Inputs!$C$79,Inputs!$C$80))*(1-Inputs!$C$38)</f>
        <v>12040.727254318403</v>
      </c>
      <c r="Z6" s="12">
        <f>Y6*(1+IF(Z$1&lt;=5,Inputs!$C$79,Inputs!$C$80))*(1-Inputs!$C$38)</f>
        <v>12035.910963416676</v>
      </c>
    </row>
    <row r="7" spans="2:26" x14ac:dyDescent="0.25">
      <c r="B7" s="1" t="s">
        <v>12</v>
      </c>
      <c r="C7" s="3">
        <f>AVERAGE(G7:K7)/AVERAGE($G$7:$K$7)</f>
        <v>1</v>
      </c>
      <c r="D7" s="17">
        <f>SUM(D4:D6)</f>
        <v>3577.5</v>
      </c>
      <c r="E7" s="17">
        <f>D7*Inputs!$C$72</f>
        <v>21465</v>
      </c>
      <c r="F7" s="17">
        <f t="shared" si="1"/>
        <v>85860</v>
      </c>
      <c r="G7" s="33">
        <f>SUM(G4:G6)</f>
        <v>1030320</v>
      </c>
      <c r="H7" s="33">
        <f t="shared" ref="H7:Z7" si="3">SUM(H4:H6)</f>
        <v>1081609.2</v>
      </c>
      <c r="I7" s="33">
        <f t="shared" si="3"/>
        <v>1135456.2828000002</v>
      </c>
      <c r="J7" s="33">
        <f t="shared" si="3"/>
        <v>1191988.9518012002</v>
      </c>
      <c r="K7" s="33">
        <f t="shared" si="3"/>
        <v>1251341.2900434348</v>
      </c>
      <c r="L7" s="33">
        <f t="shared" si="3"/>
        <v>1276121.1053402175</v>
      </c>
      <c r="M7" s="33">
        <f t="shared" si="3"/>
        <v>1301396.6157471372</v>
      </c>
      <c r="N7" s="33">
        <f t="shared" si="3"/>
        <v>1327177.7351268758</v>
      </c>
      <c r="O7" s="33">
        <f t="shared" si="3"/>
        <v>1353474.575619383</v>
      </c>
      <c r="P7" s="33">
        <f t="shared" si="3"/>
        <v>1380297.4516074243</v>
      </c>
      <c r="Q7" s="33">
        <f t="shared" si="3"/>
        <v>1407656.883761436</v>
      </c>
      <c r="R7" s="33">
        <f t="shared" si="3"/>
        <v>1435563.6031652794</v>
      </c>
      <c r="S7" s="33">
        <f t="shared" si="3"/>
        <v>1464028.5555245082</v>
      </c>
      <c r="T7" s="33">
        <f t="shared" si="3"/>
        <v>1493062.9054588031</v>
      </c>
      <c r="U7" s="33">
        <f t="shared" si="3"/>
        <v>1522678.0408802545</v>
      </c>
      <c r="V7" s="33">
        <f t="shared" si="3"/>
        <v>1552885.5774592101</v>
      </c>
      <c r="W7" s="33">
        <f t="shared" si="3"/>
        <v>1583697.3631794399</v>
      </c>
      <c r="X7" s="33">
        <f t="shared" si="3"/>
        <v>1615125.4829844059</v>
      </c>
      <c r="Y7" s="33">
        <f t="shared" si="3"/>
        <v>1647182.263516455</v>
      </c>
      <c r="Z7" s="33">
        <f t="shared" si="3"/>
        <v>1679880.2779507961</v>
      </c>
    </row>
    <row r="8" spans="2:26" x14ac:dyDescent="0.25">
      <c r="B8" s="1" t="s">
        <v>13</v>
      </c>
      <c r="C8" s="34"/>
      <c r="F8" s="1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2:26" x14ac:dyDescent="0.25">
      <c r="B9" t="s">
        <v>0</v>
      </c>
      <c r="C9" s="3">
        <f>AVERAGE(G9:K9)/AVERAGE($G$7:$K$7)</f>
        <v>0.13590760674454475</v>
      </c>
      <c r="D9" s="12">
        <f>D4*(1-Inputs!$C$6)</f>
        <v>486.00000000000006</v>
      </c>
      <c r="E9" s="12">
        <f>D9*Inputs!$C$72</f>
        <v>2916.0000000000005</v>
      </c>
      <c r="F9" s="12">
        <f>E9*4</f>
        <v>11664.000000000002</v>
      </c>
      <c r="G9" s="12">
        <f t="shared" si="2"/>
        <v>139968.00000000003</v>
      </c>
      <c r="H9" s="12">
        <f>H4*(1-$G15)</f>
        <v>146966.40000000002</v>
      </c>
      <c r="I9" s="12">
        <f t="shared" ref="I9:K9" si="4">I4*(1-$G15)</f>
        <v>154314.72000000003</v>
      </c>
      <c r="J9" s="12">
        <f t="shared" si="4"/>
        <v>162030.45600000003</v>
      </c>
      <c r="K9" s="12">
        <f t="shared" si="4"/>
        <v>170131.97880000004</v>
      </c>
      <c r="L9" s="12">
        <f t="shared" ref="L9:Z9" si="5">L4*(1-$G15)</f>
        <v>173534.61837600003</v>
      </c>
      <c r="M9" s="12">
        <f t="shared" si="5"/>
        <v>177005.31074352001</v>
      </c>
      <c r="N9" s="12">
        <f t="shared" si="5"/>
        <v>180545.41695839044</v>
      </c>
      <c r="O9" s="12">
        <f t="shared" si="5"/>
        <v>184156.32529755824</v>
      </c>
      <c r="P9" s="12">
        <f t="shared" si="5"/>
        <v>187839.45180350941</v>
      </c>
      <c r="Q9" s="12">
        <f t="shared" si="5"/>
        <v>191596.24083957961</v>
      </c>
      <c r="R9" s="12">
        <f t="shared" si="5"/>
        <v>195428.16565637119</v>
      </c>
      <c r="S9" s="12">
        <f t="shared" si="5"/>
        <v>199336.72896949862</v>
      </c>
      <c r="T9" s="12">
        <f t="shared" si="5"/>
        <v>203323.4635488886</v>
      </c>
      <c r="U9" s="12">
        <f t="shared" si="5"/>
        <v>207389.93281986634</v>
      </c>
      <c r="V9" s="12">
        <f t="shared" si="5"/>
        <v>211537.7314762637</v>
      </c>
      <c r="W9" s="12">
        <f t="shared" si="5"/>
        <v>215768.48610578896</v>
      </c>
      <c r="X9" s="12">
        <f t="shared" si="5"/>
        <v>220083.85582790474</v>
      </c>
      <c r="Y9" s="12">
        <f t="shared" si="5"/>
        <v>224485.53294446284</v>
      </c>
      <c r="Z9" s="12">
        <f t="shared" si="5"/>
        <v>228975.24360335211</v>
      </c>
    </row>
    <row r="10" spans="2:26" x14ac:dyDescent="0.25">
      <c r="B10" t="s">
        <v>110</v>
      </c>
      <c r="C10" s="3">
        <f>AVERAGE(G10:K10)/AVERAGE($G$7:$K$7)</f>
        <v>0.2684594701126809</v>
      </c>
      <c r="D10" s="4">
        <f>IF(Inputs!$C$24="Share",D5*Inputs!$C$43,0)</f>
        <v>960</v>
      </c>
      <c r="E10" s="12">
        <f>D10*Inputs!$C$72</f>
        <v>5760</v>
      </c>
      <c r="F10" s="12">
        <f t="shared" ref="F10:F14" si="6">E10*4</f>
        <v>23040</v>
      </c>
      <c r="G10" s="12">
        <f t="shared" si="2"/>
        <v>276480</v>
      </c>
      <c r="H10" s="12">
        <f>H5*(1-$G16)</f>
        <v>290304</v>
      </c>
      <c r="I10" s="12">
        <f t="shared" ref="I10:K10" si="7">I5*(1-$G16)</f>
        <v>304819.20000000001</v>
      </c>
      <c r="J10" s="12">
        <f t="shared" si="7"/>
        <v>320060.16000000003</v>
      </c>
      <c r="K10" s="12">
        <f t="shared" si="7"/>
        <v>336063.16800000006</v>
      </c>
      <c r="L10" s="12">
        <f t="shared" ref="L10:Z10" si="8">L5*(1-$G16)</f>
        <v>342784.43136000005</v>
      </c>
      <c r="M10" s="12">
        <f t="shared" si="8"/>
        <v>349640.11998720007</v>
      </c>
      <c r="N10" s="12">
        <f t="shared" si="8"/>
        <v>356632.92238694406</v>
      </c>
      <c r="O10" s="12">
        <f t="shared" si="8"/>
        <v>363765.58083468297</v>
      </c>
      <c r="P10" s="12">
        <f t="shared" si="8"/>
        <v>371040.89245137665</v>
      </c>
      <c r="Q10" s="12">
        <f t="shared" si="8"/>
        <v>378461.71030040417</v>
      </c>
      <c r="R10" s="12">
        <f t="shared" si="8"/>
        <v>386030.94450641226</v>
      </c>
      <c r="S10" s="12">
        <f t="shared" si="8"/>
        <v>393751.56339654053</v>
      </c>
      <c r="T10" s="12">
        <f t="shared" si="8"/>
        <v>401626.59466447134</v>
      </c>
      <c r="U10" s="12">
        <f t="shared" si="8"/>
        <v>409659.12655776076</v>
      </c>
      <c r="V10" s="12">
        <f t="shared" si="8"/>
        <v>417852.30908891599</v>
      </c>
      <c r="W10" s="12">
        <f t="shared" si="8"/>
        <v>426209.3552706943</v>
      </c>
      <c r="X10" s="12">
        <f t="shared" si="8"/>
        <v>434733.54237610818</v>
      </c>
      <c r="Y10" s="12">
        <f t="shared" si="8"/>
        <v>443428.21322363033</v>
      </c>
      <c r="Z10" s="12">
        <f t="shared" si="8"/>
        <v>452296.77748810296</v>
      </c>
    </row>
    <row r="11" spans="2:26" x14ac:dyDescent="0.25">
      <c r="B11" t="s">
        <v>128</v>
      </c>
      <c r="C11" s="3">
        <f>AVERAGE(G11:K11)/AVERAGE($G$7:$K$7)</f>
        <v>5.0278519797444486E-3</v>
      </c>
      <c r="D11" s="4">
        <f>D6*Inputs!$C$43</f>
        <v>18.75</v>
      </c>
      <c r="E11" s="12">
        <f>E6*Inputs!$C$43</f>
        <v>112.5</v>
      </c>
      <c r="F11" s="12">
        <f>F6*Inputs!$C$43</f>
        <v>450</v>
      </c>
      <c r="G11" s="12">
        <f>G6*Inputs!$C$43</f>
        <v>5400</v>
      </c>
      <c r="H11" s="12">
        <f>H6*Inputs!$C$43</f>
        <v>5556.5999999999995</v>
      </c>
      <c r="I11" s="12">
        <f>I6*Inputs!$C$43</f>
        <v>5717.741399999999</v>
      </c>
      <c r="J11" s="12">
        <f>J6*Inputs!$C$43</f>
        <v>5883.5559005999985</v>
      </c>
      <c r="K11" s="12">
        <f>K6*Inputs!$C$43</f>
        <v>6054.1790217173984</v>
      </c>
      <c r="L11" s="12">
        <f>L6*Inputs!$C$43</f>
        <v>6051.7573501087109</v>
      </c>
      <c r="M11" s="12">
        <f>M6*Inputs!$C$43</f>
        <v>6049.3366471686668</v>
      </c>
      <c r="N11" s="12">
        <f>N6*Inputs!$C$43</f>
        <v>6046.9169125097997</v>
      </c>
      <c r="O11" s="12">
        <f>O6*Inputs!$C$43</f>
        <v>6044.4981457447957</v>
      </c>
      <c r="P11" s="12">
        <f>P6*Inputs!$C$43</f>
        <v>6042.0803464864985</v>
      </c>
      <c r="Q11" s="12">
        <f>Q6*Inputs!$C$43</f>
        <v>6039.6635143479034</v>
      </c>
      <c r="R11" s="12">
        <f>R6*Inputs!$C$43</f>
        <v>6037.2476489421642</v>
      </c>
      <c r="S11" s="12">
        <f>S6*Inputs!$C$43</f>
        <v>6034.8327498825874</v>
      </c>
      <c r="T11" s="12">
        <f>T6*Inputs!$C$43</f>
        <v>6032.4188167826342</v>
      </c>
      <c r="U11" s="12">
        <f>U6*Inputs!$C$43</f>
        <v>6030.005849255921</v>
      </c>
      <c r="V11" s="12">
        <f>V6*Inputs!$C$43</f>
        <v>6027.5938469162193</v>
      </c>
      <c r="W11" s="12">
        <f>W6*Inputs!$C$43</f>
        <v>6025.1828093774529</v>
      </c>
      <c r="X11" s="12">
        <f>X6*Inputs!$C$43</f>
        <v>6022.7727362537025</v>
      </c>
      <c r="Y11" s="12">
        <f>Y6*Inputs!$C$43</f>
        <v>6020.3636271592013</v>
      </c>
      <c r="Z11" s="12">
        <f>Z6*Inputs!$C$43</f>
        <v>6017.9554817083381</v>
      </c>
    </row>
    <row r="12" spans="2:26" x14ac:dyDescent="0.25">
      <c r="B12" s="1" t="s">
        <v>14</v>
      </c>
      <c r="C12" s="3">
        <f>AVERAGE(G12:K12)/AVERAGE($G$7:$K$7)</f>
        <v>0.40436707685722578</v>
      </c>
      <c r="D12" s="17">
        <f>SUM(D9:D10)</f>
        <v>1446</v>
      </c>
      <c r="E12" s="17">
        <f>D12*Inputs!$C$72</f>
        <v>8676</v>
      </c>
      <c r="F12" s="17">
        <f t="shared" si="6"/>
        <v>34704</v>
      </c>
      <c r="G12" s="29">
        <f t="shared" si="2"/>
        <v>416448</v>
      </c>
      <c r="H12" s="29">
        <f>SUM(H9:H10)</f>
        <v>437270.4</v>
      </c>
      <c r="I12" s="29">
        <f t="shared" ref="I12:K12" si="9">SUM(I9:I10)</f>
        <v>459133.92000000004</v>
      </c>
      <c r="J12" s="29">
        <f t="shared" si="9"/>
        <v>482090.61600000004</v>
      </c>
      <c r="K12" s="29">
        <f t="shared" si="9"/>
        <v>506195.1468000001</v>
      </c>
      <c r="L12" s="29">
        <f t="shared" ref="L12:Z12" si="10">SUM(L9:L10)</f>
        <v>516319.04973600007</v>
      </c>
      <c r="M12" s="29">
        <f t="shared" si="10"/>
        <v>526645.43073072005</v>
      </c>
      <c r="N12" s="29">
        <f t="shared" si="10"/>
        <v>537178.33934533456</v>
      </c>
      <c r="O12" s="29">
        <f t="shared" si="10"/>
        <v>547921.90613224125</v>
      </c>
      <c r="P12" s="29">
        <f t="shared" si="10"/>
        <v>558880.34425488603</v>
      </c>
      <c r="Q12" s="29">
        <f t="shared" si="10"/>
        <v>570057.95113998372</v>
      </c>
      <c r="R12" s="29">
        <f t="shared" si="10"/>
        <v>581459.11016278341</v>
      </c>
      <c r="S12" s="29">
        <f t="shared" si="10"/>
        <v>593088.29236603912</v>
      </c>
      <c r="T12" s="29">
        <f t="shared" si="10"/>
        <v>604950.05821335991</v>
      </c>
      <c r="U12" s="29">
        <f t="shared" si="10"/>
        <v>617049.0593776271</v>
      </c>
      <c r="V12" s="29">
        <f t="shared" si="10"/>
        <v>629390.04056517966</v>
      </c>
      <c r="W12" s="29">
        <f t="shared" si="10"/>
        <v>641977.84137648321</v>
      </c>
      <c r="X12" s="29">
        <f t="shared" si="10"/>
        <v>654817.39820401289</v>
      </c>
      <c r="Y12" s="29">
        <f t="shared" si="10"/>
        <v>667913.74616809317</v>
      </c>
      <c r="Z12" s="29">
        <f t="shared" si="10"/>
        <v>681272.02109145513</v>
      </c>
    </row>
    <row r="13" spans="2:26" x14ac:dyDescent="0.25">
      <c r="C13" s="34"/>
      <c r="G13" s="12"/>
    </row>
    <row r="14" spans="2:26" x14ac:dyDescent="0.25">
      <c r="B14" s="1" t="s">
        <v>23</v>
      </c>
      <c r="C14" s="3">
        <f>AVERAGE(G14:K14)/AVERAGE($G$7:$K$7)</f>
        <v>0.59563292314277427</v>
      </c>
      <c r="D14" s="18">
        <f>D7-D12</f>
        <v>2131.5</v>
      </c>
      <c r="E14" s="17">
        <f>D14*Inputs!$C$72</f>
        <v>12789</v>
      </c>
      <c r="F14" s="17">
        <f t="shared" si="6"/>
        <v>51156</v>
      </c>
      <c r="G14" s="26">
        <f>G7-G12</f>
        <v>613872</v>
      </c>
      <c r="H14" s="26">
        <f t="shared" ref="H14:K14" si="11">H7-H12</f>
        <v>644338.79999999993</v>
      </c>
      <c r="I14" s="26">
        <f t="shared" si="11"/>
        <v>676322.36280000012</v>
      </c>
      <c r="J14" s="26">
        <f t="shared" si="11"/>
        <v>709898.33580120013</v>
      </c>
      <c r="K14" s="26">
        <f t="shared" si="11"/>
        <v>745146.14324343472</v>
      </c>
      <c r="L14" s="26">
        <f t="shared" ref="L14:Z14" si="12">L7-L12</f>
        <v>759802.05560421734</v>
      </c>
      <c r="M14" s="26">
        <f t="shared" si="12"/>
        <v>774751.18501641718</v>
      </c>
      <c r="N14" s="26">
        <f t="shared" si="12"/>
        <v>789999.39578154124</v>
      </c>
      <c r="O14" s="26">
        <f t="shared" si="12"/>
        <v>805552.66948714177</v>
      </c>
      <c r="P14" s="26">
        <f t="shared" si="12"/>
        <v>821417.10735253827</v>
      </c>
      <c r="Q14" s="26">
        <f t="shared" si="12"/>
        <v>837598.93262145226</v>
      </c>
      <c r="R14" s="26">
        <f t="shared" si="12"/>
        <v>854104.49300249596</v>
      </c>
      <c r="S14" s="26">
        <f t="shared" si="12"/>
        <v>870940.26315846911</v>
      </c>
      <c r="T14" s="26">
        <f t="shared" si="12"/>
        <v>888112.84724544315</v>
      </c>
      <c r="U14" s="26">
        <f t="shared" si="12"/>
        <v>905628.98150262737</v>
      </c>
      <c r="V14" s="26">
        <f t="shared" si="12"/>
        <v>923495.5368940304</v>
      </c>
      <c r="W14" s="26">
        <f t="shared" si="12"/>
        <v>941719.5218029567</v>
      </c>
      <c r="X14" s="26">
        <f t="shared" si="12"/>
        <v>960308.08478039305</v>
      </c>
      <c r="Y14" s="26">
        <f t="shared" si="12"/>
        <v>979268.51734836178</v>
      </c>
      <c r="Z14" s="26">
        <f t="shared" si="12"/>
        <v>998608.25685934094</v>
      </c>
    </row>
    <row r="15" spans="2:26" x14ac:dyDescent="0.25">
      <c r="B15" s="14" t="s">
        <v>29</v>
      </c>
      <c r="C15" s="34"/>
      <c r="D15" s="15">
        <f>(D4-D9)/D4</f>
        <v>0.7</v>
      </c>
      <c r="E15" s="15">
        <f t="shared" ref="E15:G15" si="13">(E4-E9)/E4</f>
        <v>0.7</v>
      </c>
      <c r="F15" s="15">
        <f t="shared" si="13"/>
        <v>0.7</v>
      </c>
      <c r="G15" s="15">
        <f t="shared" si="13"/>
        <v>0.7</v>
      </c>
      <c r="H15" s="15">
        <f t="shared" ref="H15:K15" si="14">(H4-H9)/H4</f>
        <v>0.7</v>
      </c>
      <c r="I15" s="15">
        <f t="shared" si="14"/>
        <v>0.7</v>
      </c>
      <c r="J15" s="15">
        <f t="shared" si="14"/>
        <v>0.7</v>
      </c>
      <c r="K15" s="15">
        <f t="shared" si="14"/>
        <v>0.7</v>
      </c>
      <c r="L15" s="15">
        <f t="shared" ref="L15:Z15" si="15">(L4-L9)/L4</f>
        <v>0.7</v>
      </c>
      <c r="M15" s="15">
        <f t="shared" si="15"/>
        <v>0.7</v>
      </c>
      <c r="N15" s="15">
        <f t="shared" si="15"/>
        <v>0.7</v>
      </c>
      <c r="O15" s="15">
        <f t="shared" si="15"/>
        <v>0.7</v>
      </c>
      <c r="P15" s="15">
        <f t="shared" si="15"/>
        <v>0.7</v>
      </c>
      <c r="Q15" s="15">
        <f t="shared" si="15"/>
        <v>0.7</v>
      </c>
      <c r="R15" s="15">
        <f t="shared" si="15"/>
        <v>0.7</v>
      </c>
      <c r="S15" s="15">
        <f t="shared" si="15"/>
        <v>0.7</v>
      </c>
      <c r="T15" s="15">
        <f t="shared" si="15"/>
        <v>0.7</v>
      </c>
      <c r="U15" s="15">
        <f t="shared" si="15"/>
        <v>0.7</v>
      </c>
      <c r="V15" s="15">
        <f t="shared" si="15"/>
        <v>0.7</v>
      </c>
      <c r="W15" s="15">
        <f t="shared" si="15"/>
        <v>0.7</v>
      </c>
      <c r="X15" s="15">
        <f t="shared" si="15"/>
        <v>0.7</v>
      </c>
      <c r="Y15" s="15">
        <f t="shared" si="15"/>
        <v>0.7</v>
      </c>
      <c r="Z15" s="15">
        <f t="shared" si="15"/>
        <v>0.7</v>
      </c>
    </row>
    <row r="16" spans="2:26" x14ac:dyDescent="0.25">
      <c r="B16" s="14" t="s">
        <v>111</v>
      </c>
      <c r="C16" s="34"/>
      <c r="D16" s="15">
        <f>(D5-D10)/D5</f>
        <v>0.5</v>
      </c>
      <c r="E16" s="15">
        <f t="shared" ref="E16:Z16" si="16">(E5-E10)/E5</f>
        <v>0.5</v>
      </c>
      <c r="F16" s="15">
        <f t="shared" si="16"/>
        <v>0.5</v>
      </c>
      <c r="G16" s="15">
        <f t="shared" si="16"/>
        <v>0.5</v>
      </c>
      <c r="H16" s="15">
        <f t="shared" si="16"/>
        <v>0.5</v>
      </c>
      <c r="I16" s="15">
        <f t="shared" si="16"/>
        <v>0.5</v>
      </c>
      <c r="J16" s="15">
        <f t="shared" si="16"/>
        <v>0.5</v>
      </c>
      <c r="K16" s="15">
        <f t="shared" si="16"/>
        <v>0.5</v>
      </c>
      <c r="L16" s="15">
        <f t="shared" si="16"/>
        <v>0.5</v>
      </c>
      <c r="M16" s="15">
        <f t="shared" si="16"/>
        <v>0.5</v>
      </c>
      <c r="N16" s="15">
        <f t="shared" si="16"/>
        <v>0.5</v>
      </c>
      <c r="O16" s="15">
        <f t="shared" si="16"/>
        <v>0.5</v>
      </c>
      <c r="P16" s="15">
        <f t="shared" si="16"/>
        <v>0.5</v>
      </c>
      <c r="Q16" s="15">
        <f t="shared" si="16"/>
        <v>0.5</v>
      </c>
      <c r="R16" s="15">
        <f t="shared" si="16"/>
        <v>0.5</v>
      </c>
      <c r="S16" s="15">
        <f t="shared" si="16"/>
        <v>0.5</v>
      </c>
      <c r="T16" s="15">
        <f t="shared" si="16"/>
        <v>0.5</v>
      </c>
      <c r="U16" s="15">
        <f t="shared" si="16"/>
        <v>0.5</v>
      </c>
      <c r="V16" s="15">
        <f t="shared" si="16"/>
        <v>0.5</v>
      </c>
      <c r="W16" s="15">
        <f t="shared" si="16"/>
        <v>0.5</v>
      </c>
      <c r="X16" s="15">
        <f t="shared" si="16"/>
        <v>0.5</v>
      </c>
      <c r="Y16" s="15">
        <f t="shared" si="16"/>
        <v>0.5</v>
      </c>
      <c r="Z16" s="15">
        <f t="shared" si="16"/>
        <v>0.5</v>
      </c>
    </row>
    <row r="17" spans="2:26" x14ac:dyDescent="0.25">
      <c r="B17" s="14" t="s">
        <v>129</v>
      </c>
      <c r="C17" s="34"/>
      <c r="D17" s="15">
        <f>(D6-D11)/D6</f>
        <v>0.5</v>
      </c>
      <c r="E17" s="15">
        <f t="shared" ref="E17:Z17" si="17">(E6-E11)/E6</f>
        <v>0.5</v>
      </c>
      <c r="F17" s="15">
        <f t="shared" si="17"/>
        <v>0.5</v>
      </c>
      <c r="G17" s="15">
        <f t="shared" si="17"/>
        <v>0.5</v>
      </c>
      <c r="H17" s="15">
        <f t="shared" si="17"/>
        <v>0.5</v>
      </c>
      <c r="I17" s="15">
        <f t="shared" si="17"/>
        <v>0.5</v>
      </c>
      <c r="J17" s="15">
        <f t="shared" si="17"/>
        <v>0.5</v>
      </c>
      <c r="K17" s="15">
        <f t="shared" si="17"/>
        <v>0.5</v>
      </c>
      <c r="L17" s="15">
        <f t="shared" si="17"/>
        <v>0.5</v>
      </c>
      <c r="M17" s="15">
        <f t="shared" si="17"/>
        <v>0.5</v>
      </c>
      <c r="N17" s="15">
        <f t="shared" si="17"/>
        <v>0.5</v>
      </c>
      <c r="O17" s="15">
        <f t="shared" si="17"/>
        <v>0.5</v>
      </c>
      <c r="P17" s="15">
        <f t="shared" si="17"/>
        <v>0.5</v>
      </c>
      <c r="Q17" s="15">
        <f t="shared" si="17"/>
        <v>0.5</v>
      </c>
      <c r="R17" s="15">
        <f t="shared" si="17"/>
        <v>0.5</v>
      </c>
      <c r="S17" s="15">
        <f t="shared" si="17"/>
        <v>0.5</v>
      </c>
      <c r="T17" s="15">
        <f t="shared" si="17"/>
        <v>0.5</v>
      </c>
      <c r="U17" s="15">
        <f t="shared" si="17"/>
        <v>0.5</v>
      </c>
      <c r="V17" s="15">
        <f t="shared" si="17"/>
        <v>0.5</v>
      </c>
      <c r="W17" s="15">
        <f t="shared" si="17"/>
        <v>0.5</v>
      </c>
      <c r="X17" s="15">
        <f t="shared" si="17"/>
        <v>0.5</v>
      </c>
      <c r="Y17" s="15">
        <f t="shared" si="17"/>
        <v>0.5</v>
      </c>
      <c r="Z17" s="15">
        <f t="shared" si="17"/>
        <v>0.5</v>
      </c>
    </row>
    <row r="18" spans="2:26" x14ac:dyDescent="0.25">
      <c r="B18" s="14" t="s">
        <v>30</v>
      </c>
      <c r="C18" s="34"/>
      <c r="D18" s="15">
        <f>D14/D7</f>
        <v>0.5958071278825996</v>
      </c>
      <c r="E18" s="15">
        <f t="shared" ref="E18:G18" si="18">E14/E7</f>
        <v>0.5958071278825996</v>
      </c>
      <c r="F18" s="15">
        <f t="shared" si="18"/>
        <v>0.5958071278825996</v>
      </c>
      <c r="G18" s="15">
        <f t="shared" si="18"/>
        <v>0.5958071278825996</v>
      </c>
      <c r="H18" s="15">
        <f t="shared" ref="H18:K18" si="19">H14/H7</f>
        <v>0.59572237366324177</v>
      </c>
      <c r="I18" s="15">
        <f t="shared" si="19"/>
        <v>0.59563928003657707</v>
      </c>
      <c r="J18" s="15">
        <f t="shared" si="19"/>
        <v>0.59555781513619011</v>
      </c>
      <c r="K18" s="15">
        <f t="shared" si="19"/>
        <v>0.59547794768090023</v>
      </c>
      <c r="L18" s="15">
        <f t="shared" ref="L18:Y18" si="20">L14/L7</f>
        <v>0.59539964696505199</v>
      </c>
      <c r="M18" s="15">
        <f t="shared" si="20"/>
        <v>0.59532288284892254</v>
      </c>
      <c r="N18" s="15">
        <f t="shared" si="20"/>
        <v>0.59524762574925105</v>
      </c>
      <c r="O18" s="15">
        <f t="shared" si="20"/>
        <v>0.59517384662988682</v>
      </c>
      <c r="P18" s="15">
        <f t="shared" si="20"/>
        <v>0.59510151699255665</v>
      </c>
      <c r="Q18" s="15">
        <f t="shared" si="20"/>
        <v>0.59503060886775383</v>
      </c>
      <c r="R18" s="15">
        <f t="shared" si="20"/>
        <v>0.59496109480574588</v>
      </c>
      <c r="S18" s="15">
        <f t="shared" si="20"/>
        <v>0.59489294786770253</v>
      </c>
      <c r="T18" s="15">
        <f t="shared" si="20"/>
        <v>0.59482614161694347</v>
      </c>
      <c r="U18" s="15">
        <f t="shared" si="20"/>
        <v>0.5947606501103061</v>
      </c>
      <c r="V18" s="15">
        <f t="shared" si="20"/>
        <v>0.59469644788963083</v>
      </c>
      <c r="W18" s="15">
        <f t="shared" si="20"/>
        <v>0.59463350997336717</v>
      </c>
      <c r="X18" s="15">
        <f t="shared" si="20"/>
        <v>0.59457181184829644</v>
      </c>
      <c r="Y18" s="15">
        <f t="shared" si="20"/>
        <v>0.59451132946137331</v>
      </c>
      <c r="Z18" s="15">
        <f>Z14/Z7</f>
        <v>0.59445203921168377</v>
      </c>
    </row>
    <row r="19" spans="2:26" x14ac:dyDescent="0.25">
      <c r="B19" s="14"/>
      <c r="C19" s="34"/>
      <c r="D19" s="15"/>
      <c r="E19" s="15"/>
      <c r="F19" s="15"/>
      <c r="G19" s="15"/>
    </row>
    <row r="20" spans="2:26" x14ac:dyDescent="0.25">
      <c r="B20" s="1" t="s">
        <v>9</v>
      </c>
      <c r="C20" s="3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x14ac:dyDescent="0.25">
      <c r="B21" t="s">
        <v>40</v>
      </c>
      <c r="C21" s="3">
        <f t="shared" ref="C21:C28" si="21">AVERAGE(G21:K21)/AVERAGE($G$7:$K$7)</f>
        <v>6.3208790117812844E-2</v>
      </c>
      <c r="D21" s="4">
        <f>((Inputs!$C$13*Inputs!$C$14)+(Inputs!$C$15*Inputs!$C$16))*Inputs!$C$73</f>
        <v>240</v>
      </c>
      <c r="E21" s="12">
        <f>D21*Inputs!$C$72</f>
        <v>1440</v>
      </c>
      <c r="F21" s="12">
        <f t="shared" ref="F21" si="22">E21*4</f>
        <v>5760</v>
      </c>
      <c r="G21" s="12">
        <f t="shared" ref="G21" si="23">F21*12</f>
        <v>69120</v>
      </c>
      <c r="H21" s="12">
        <f>G21*(1+Inputs!$C$81)</f>
        <v>70502.399999999994</v>
      </c>
      <c r="I21" s="12">
        <f>H21*(1+Inputs!$C$81)</f>
        <v>71912.447999999989</v>
      </c>
      <c r="J21" s="12">
        <f>I21*(1+Inputs!$C$81)</f>
        <v>73350.696959999987</v>
      </c>
      <c r="K21" s="12">
        <f>J21*(1+Inputs!$C$81)</f>
        <v>74817.710899199985</v>
      </c>
      <c r="L21" s="12">
        <f>K21*(1+Inputs!$C$81)</f>
        <v>76314.065117183985</v>
      </c>
      <c r="M21" s="12">
        <f>L21*(1+Inputs!$C$81)</f>
        <v>77840.346419527661</v>
      </c>
      <c r="N21" s="12">
        <f>M21*(1+Inputs!$C$81)</f>
        <v>79397.153347918211</v>
      </c>
      <c r="O21" s="12">
        <f>N21*(1+Inputs!$C$81)</f>
        <v>80985.096414876578</v>
      </c>
      <c r="P21" s="12">
        <f>O21*(1+Inputs!$C$81)</f>
        <v>82604.798343174116</v>
      </c>
      <c r="Q21" s="12">
        <f>P21*(1+Inputs!$C$81)</f>
        <v>84256.894310037605</v>
      </c>
      <c r="R21" s="12">
        <f>Q21*(1+Inputs!$C$81)</f>
        <v>85942.03219623836</v>
      </c>
      <c r="S21" s="12">
        <f>R21*(1+Inputs!$C$81)</f>
        <v>87660.872840163123</v>
      </c>
      <c r="T21" s="12">
        <f>S21*(1+Inputs!$C$81)</f>
        <v>89414.090296966388</v>
      </c>
      <c r="U21" s="12">
        <f>T21*(1+Inputs!$C$81)</f>
        <v>91202.37210290572</v>
      </c>
      <c r="V21" s="12">
        <f>U21*(1+Inputs!$C$81)</f>
        <v>93026.419544963836</v>
      </c>
      <c r="W21" s="12">
        <f>V21*(1+Inputs!$C$81)</f>
        <v>94886.947935863107</v>
      </c>
      <c r="X21" s="12">
        <f>W21*(1+Inputs!$C$81)</f>
        <v>96784.686894580373</v>
      </c>
      <c r="Y21" s="12">
        <f>X21*(1+Inputs!$C$81)</f>
        <v>98720.380632471977</v>
      </c>
      <c r="Z21" s="12">
        <f>Y21*(1+Inputs!$C$81)</f>
        <v>100694.78824512142</v>
      </c>
    </row>
    <row r="22" spans="2:26" x14ac:dyDescent="0.25">
      <c r="B22" t="str">
        <f>Inputs!C48</f>
        <v>Lease</v>
      </c>
      <c r="C22" s="3">
        <f t="shared" si="21"/>
        <v>5.2717446190607933E-2</v>
      </c>
      <c r="D22" s="12">
        <f>E22/Inputs!$C$72</f>
        <v>208.33333333333334</v>
      </c>
      <c r="E22" s="12">
        <f t="shared" ref="E22:E27" si="24">F22/4</f>
        <v>1250</v>
      </c>
      <c r="F22" s="4">
        <f>IF(B22="Mortgage",Inputs!C52,Inputs!C51)</f>
        <v>5000</v>
      </c>
      <c r="G22" s="12">
        <f>F22*12</f>
        <v>60000</v>
      </c>
      <c r="H22" s="12">
        <f>G22</f>
        <v>60000</v>
      </c>
      <c r="I22" s="12">
        <f t="shared" ref="I22:Z22" si="25">H22</f>
        <v>60000</v>
      </c>
      <c r="J22" s="12">
        <f t="shared" si="25"/>
        <v>60000</v>
      </c>
      <c r="K22" s="12">
        <f t="shared" si="25"/>
        <v>60000</v>
      </c>
      <c r="L22" s="12">
        <f t="shared" si="25"/>
        <v>60000</v>
      </c>
      <c r="M22" s="12">
        <f t="shared" si="25"/>
        <v>60000</v>
      </c>
      <c r="N22" s="12">
        <f t="shared" si="25"/>
        <v>60000</v>
      </c>
      <c r="O22" s="12">
        <f t="shared" si="25"/>
        <v>60000</v>
      </c>
      <c r="P22" s="12">
        <f t="shared" si="25"/>
        <v>60000</v>
      </c>
      <c r="Q22" s="12">
        <f t="shared" si="25"/>
        <v>60000</v>
      </c>
      <c r="R22" s="12">
        <f t="shared" si="25"/>
        <v>60000</v>
      </c>
      <c r="S22" s="12">
        <f t="shared" si="25"/>
        <v>60000</v>
      </c>
      <c r="T22" s="12">
        <f t="shared" si="25"/>
        <v>60000</v>
      </c>
      <c r="U22" s="12">
        <f t="shared" si="25"/>
        <v>60000</v>
      </c>
      <c r="V22" s="12">
        <f t="shared" si="25"/>
        <v>60000</v>
      </c>
      <c r="W22" s="12">
        <f t="shared" si="25"/>
        <v>60000</v>
      </c>
      <c r="X22" s="12">
        <f t="shared" si="25"/>
        <v>60000</v>
      </c>
      <c r="Y22" s="12">
        <f t="shared" si="25"/>
        <v>60000</v>
      </c>
      <c r="Z22" s="12">
        <f t="shared" si="25"/>
        <v>60000</v>
      </c>
    </row>
    <row r="23" spans="2:26" x14ac:dyDescent="0.25">
      <c r="B23" t="s">
        <v>72</v>
      </c>
      <c r="C23" s="3">
        <f t="shared" si="21"/>
        <v>0</v>
      </c>
      <c r="D23" s="12">
        <f>E23/Inputs!$C$72</f>
        <v>0</v>
      </c>
      <c r="E23" s="12">
        <f t="shared" si="24"/>
        <v>0</v>
      </c>
      <c r="F23" s="4">
        <f>IF($B$22="Lease",0,#REF!/12)</f>
        <v>0</v>
      </c>
      <c r="G23" s="12">
        <f>F23*12</f>
        <v>0</v>
      </c>
      <c r="H23" s="12">
        <f>G23*(1+Inputs!$C$81)</f>
        <v>0</v>
      </c>
      <c r="I23" s="12">
        <f>H23*(1+Inputs!$C$81)</f>
        <v>0</v>
      </c>
      <c r="J23" s="12">
        <f>I23*(1+Inputs!$C$81)</f>
        <v>0</v>
      </c>
      <c r="K23" s="12">
        <f>J23*(1+Inputs!$C$81)</f>
        <v>0</v>
      </c>
      <c r="L23" s="12">
        <f>K23*(1+Inputs!$C$81)</f>
        <v>0</v>
      </c>
      <c r="M23" s="12">
        <f>L23*(1+Inputs!$C$81)</f>
        <v>0</v>
      </c>
      <c r="N23" s="12">
        <f>M23*(1+Inputs!$C$81)</f>
        <v>0</v>
      </c>
      <c r="O23" s="12">
        <f>N23*(1+Inputs!$C$81)</f>
        <v>0</v>
      </c>
      <c r="P23" s="12">
        <f>O23*(1+Inputs!$C$81)</f>
        <v>0</v>
      </c>
      <c r="Q23" s="12">
        <f>P23*(1+Inputs!$C$81)</f>
        <v>0</v>
      </c>
      <c r="R23" s="12">
        <f>Q23*(1+Inputs!$C$81)</f>
        <v>0</v>
      </c>
      <c r="S23" s="12">
        <f>R23*(1+Inputs!$C$81)</f>
        <v>0</v>
      </c>
      <c r="T23" s="12">
        <f>S23*(1+Inputs!$C$81)</f>
        <v>0</v>
      </c>
      <c r="U23" s="12">
        <f>T23*(1+Inputs!$C$81)</f>
        <v>0</v>
      </c>
      <c r="V23" s="12">
        <f>U23*(1+Inputs!$C$81)</f>
        <v>0</v>
      </c>
      <c r="W23" s="12">
        <f>V23*(1+Inputs!$C$81)</f>
        <v>0</v>
      </c>
      <c r="X23" s="12">
        <f>W23*(1+Inputs!$C$81)</f>
        <v>0</v>
      </c>
      <c r="Y23" s="12">
        <f>X23*(1+Inputs!$C$81)</f>
        <v>0</v>
      </c>
      <c r="Z23" s="12">
        <f>Y23*(1+Inputs!$C$81)</f>
        <v>0</v>
      </c>
    </row>
    <row r="24" spans="2:26" x14ac:dyDescent="0.25">
      <c r="B24" t="s">
        <v>8</v>
      </c>
      <c r="C24" s="3">
        <f t="shared" si="21"/>
        <v>2.1086978476243173E-2</v>
      </c>
      <c r="D24" s="12">
        <f>E24/Inputs!$C$72</f>
        <v>83.333333333333329</v>
      </c>
      <c r="E24" s="12">
        <f t="shared" si="24"/>
        <v>500</v>
      </c>
      <c r="F24" s="4">
        <f>Inputs!C53</f>
        <v>2000</v>
      </c>
      <c r="G24" s="12">
        <f t="shared" ref="G24:G25" si="26">F24*12</f>
        <v>24000</v>
      </c>
      <c r="H24" s="12">
        <f>G24</f>
        <v>24000</v>
      </c>
      <c r="I24" s="12">
        <f t="shared" ref="I24:K24" si="27">H24</f>
        <v>24000</v>
      </c>
      <c r="J24" s="12">
        <f t="shared" si="27"/>
        <v>24000</v>
      </c>
      <c r="K24" s="12">
        <f t="shared" si="27"/>
        <v>24000</v>
      </c>
      <c r="L24" s="12">
        <f t="shared" ref="L24" si="28">K24</f>
        <v>24000</v>
      </c>
      <c r="M24" s="12">
        <f t="shared" ref="M24" si="29">L24</f>
        <v>24000</v>
      </c>
      <c r="N24" s="12">
        <f t="shared" ref="N24" si="30">M24</f>
        <v>24000</v>
      </c>
      <c r="O24" s="12">
        <f t="shared" ref="O24" si="31">N24</f>
        <v>24000</v>
      </c>
      <c r="P24" s="12">
        <f t="shared" ref="P24" si="32">O24</f>
        <v>24000</v>
      </c>
      <c r="Q24" s="12">
        <f t="shared" ref="Q24" si="33">P24</f>
        <v>24000</v>
      </c>
      <c r="R24" s="12">
        <f t="shared" ref="R24" si="34">Q24</f>
        <v>24000</v>
      </c>
      <c r="S24" s="12">
        <f t="shared" ref="S24" si="35">R24</f>
        <v>24000</v>
      </c>
      <c r="T24" s="12">
        <f t="shared" ref="T24" si="36">S24</f>
        <v>24000</v>
      </c>
      <c r="U24" s="12">
        <f t="shared" ref="U24" si="37">T24</f>
        <v>24000</v>
      </c>
      <c r="V24" s="12">
        <f t="shared" ref="V24" si="38">U24</f>
        <v>24000</v>
      </c>
      <c r="W24" s="12">
        <f t="shared" ref="W24" si="39">V24</f>
        <v>24000</v>
      </c>
      <c r="X24" s="12">
        <f t="shared" ref="X24" si="40">W24</f>
        <v>24000</v>
      </c>
      <c r="Y24" s="12">
        <f t="shared" ref="Y24" si="41">X24</f>
        <v>24000</v>
      </c>
      <c r="Z24" s="12">
        <f t="shared" ref="Z24" si="42">Y24</f>
        <v>24000</v>
      </c>
    </row>
    <row r="25" spans="2:26" x14ac:dyDescent="0.25">
      <c r="B25" t="s">
        <v>21</v>
      </c>
      <c r="C25" s="3">
        <f t="shared" si="21"/>
        <v>3.2921244853027524E-3</v>
      </c>
      <c r="D25" s="12">
        <f>E25/Inputs!$C$72</f>
        <v>12.5</v>
      </c>
      <c r="E25" s="12">
        <f t="shared" si="24"/>
        <v>75</v>
      </c>
      <c r="F25" s="4">
        <f>Inputs!C54</f>
        <v>300</v>
      </c>
      <c r="G25" s="12">
        <f t="shared" si="26"/>
        <v>3600</v>
      </c>
      <c r="H25" s="12">
        <f>G25*(1+Inputs!$C$81)</f>
        <v>3672</v>
      </c>
      <c r="I25" s="12">
        <f>H25*(1+Inputs!$C$81)</f>
        <v>3745.44</v>
      </c>
      <c r="J25" s="12">
        <f>I25*(1+Inputs!$C$81)</f>
        <v>3820.3488000000002</v>
      </c>
      <c r="K25" s="12">
        <f>J25*(1+Inputs!$C$81)</f>
        <v>3896.7557760000004</v>
      </c>
      <c r="L25" s="12">
        <f>K25*(1+Inputs!$C$81)</f>
        <v>3974.6908915200006</v>
      </c>
      <c r="M25" s="12">
        <f>L25*(1+Inputs!$C$81)</f>
        <v>4054.1847093504007</v>
      </c>
      <c r="N25" s="12">
        <f>M25*(1+Inputs!$C$81)</f>
        <v>4135.2684035374086</v>
      </c>
      <c r="O25" s="12">
        <f>N25*(1+Inputs!$C$81)</f>
        <v>4217.9737716081572</v>
      </c>
      <c r="P25" s="12">
        <f>O25*(1+Inputs!$C$81)</f>
        <v>4302.3332470403202</v>
      </c>
      <c r="Q25" s="12">
        <f>P25*(1+Inputs!$C$81)</f>
        <v>4388.3799119811265</v>
      </c>
      <c r="R25" s="12">
        <f>Q25*(1+Inputs!$C$81)</f>
        <v>4476.1475102207487</v>
      </c>
      <c r="S25" s="12">
        <f>R25*(1+Inputs!$C$81)</f>
        <v>4565.6704604251636</v>
      </c>
      <c r="T25" s="12">
        <f>S25*(1+Inputs!$C$81)</f>
        <v>4656.9838696336674</v>
      </c>
      <c r="U25" s="12">
        <f>T25*(1+Inputs!$C$81)</f>
        <v>4750.1235470263409</v>
      </c>
      <c r="V25" s="12">
        <f>U25*(1+Inputs!$C$81)</f>
        <v>4845.1260179668679</v>
      </c>
      <c r="W25" s="12">
        <f>V25*(1+Inputs!$C$81)</f>
        <v>4942.0285383262053</v>
      </c>
      <c r="X25" s="12">
        <f>W25*(1+Inputs!$C$81)</f>
        <v>5040.8691090927296</v>
      </c>
      <c r="Y25" s="12">
        <f>X25*(1+Inputs!$C$81)</f>
        <v>5141.6864912745841</v>
      </c>
      <c r="Z25" s="12">
        <f>Y25*(1+Inputs!$C$81)</f>
        <v>5244.520221100076</v>
      </c>
    </row>
    <row r="26" spans="2:26" x14ac:dyDescent="0.25">
      <c r="B26" t="s">
        <v>41</v>
      </c>
      <c r="C26" s="3">
        <f t="shared" si="21"/>
        <v>0</v>
      </c>
      <c r="D26" s="12">
        <f>E26/Inputs!$C$72</f>
        <v>0</v>
      </c>
      <c r="E26" s="12">
        <f t="shared" si="24"/>
        <v>0</v>
      </c>
      <c r="F26" s="4">
        <f>Inputs!C55</f>
        <v>0</v>
      </c>
      <c r="G26" s="12">
        <f t="shared" ref="G26" si="43">F26*12</f>
        <v>0</v>
      </c>
      <c r="H26" s="12">
        <f>G26*(1+Inputs!$C$79)</f>
        <v>0</v>
      </c>
      <c r="I26" s="12">
        <f>H26*(1+Inputs!$C$79)</f>
        <v>0</v>
      </c>
      <c r="J26" s="12">
        <f>I26*(1+Inputs!$C$79)</f>
        <v>0</v>
      </c>
      <c r="K26" s="12">
        <f>J26*(1+Inputs!$C$79)</f>
        <v>0</v>
      </c>
      <c r="L26" s="12">
        <f>K26*(1+Inputs!$C$79)</f>
        <v>0</v>
      </c>
      <c r="M26" s="12">
        <f>L26*(1+Inputs!$C$79)</f>
        <v>0</v>
      </c>
      <c r="N26" s="12">
        <f>M26*(1+Inputs!$C$79)</f>
        <v>0</v>
      </c>
      <c r="O26" s="12">
        <f>N26*(1+Inputs!$C$79)</f>
        <v>0</v>
      </c>
      <c r="P26" s="12">
        <f>O26*(1+Inputs!$C$79)</f>
        <v>0</v>
      </c>
      <c r="Q26" s="12">
        <f>P26*(1+Inputs!$C$79)</f>
        <v>0</v>
      </c>
      <c r="R26" s="12">
        <f>Q26*(1+Inputs!$C$79)</f>
        <v>0</v>
      </c>
      <c r="S26" s="12">
        <f>R26*(1+Inputs!$C$79)</f>
        <v>0</v>
      </c>
      <c r="T26" s="12">
        <f>S26*(1+Inputs!$C$79)</f>
        <v>0</v>
      </c>
      <c r="U26" s="12">
        <f>T26*(1+Inputs!$C$79)</f>
        <v>0</v>
      </c>
      <c r="V26" s="12">
        <f>U26*(1+Inputs!$C$79)</f>
        <v>0</v>
      </c>
      <c r="W26" s="12">
        <f>V26*(1+Inputs!$C$79)</f>
        <v>0</v>
      </c>
      <c r="X26" s="12">
        <f>W26*(1+Inputs!$C$79)</f>
        <v>0</v>
      </c>
      <c r="Y26" s="12">
        <f>X26*(1+Inputs!$C$79)</f>
        <v>0</v>
      </c>
      <c r="Z26" s="12">
        <f>Y26*(1+Inputs!$C$79)</f>
        <v>0</v>
      </c>
    </row>
    <row r="27" spans="2:26" x14ac:dyDescent="0.25">
      <c r="B27" t="s">
        <v>16</v>
      </c>
      <c r="C27" s="3">
        <f t="shared" si="21"/>
        <v>2.1086978476243173E-2</v>
      </c>
      <c r="D27" s="12">
        <f>E27/Inputs!$C$72</f>
        <v>83.333333333333329</v>
      </c>
      <c r="E27" s="12">
        <f t="shared" si="24"/>
        <v>500</v>
      </c>
      <c r="F27" s="4">
        <f>Inputs!C56</f>
        <v>2000</v>
      </c>
      <c r="G27" s="12">
        <f>F27*12</f>
        <v>24000</v>
      </c>
      <c r="H27" s="12">
        <f>G27</f>
        <v>24000</v>
      </c>
      <c r="I27" s="12">
        <f t="shared" ref="I27:K27" si="44">H27</f>
        <v>24000</v>
      </c>
      <c r="J27" s="12">
        <f t="shared" si="44"/>
        <v>24000</v>
      </c>
      <c r="K27" s="12">
        <f t="shared" si="44"/>
        <v>24000</v>
      </c>
      <c r="L27" s="12">
        <f t="shared" ref="L27" si="45">K27</f>
        <v>24000</v>
      </c>
      <c r="M27" s="12">
        <f t="shared" ref="M27" si="46">L27</f>
        <v>24000</v>
      </c>
      <c r="N27" s="12">
        <f t="shared" ref="N27" si="47">M27</f>
        <v>24000</v>
      </c>
      <c r="O27" s="12">
        <f t="shared" ref="O27" si="48">N27</f>
        <v>24000</v>
      </c>
      <c r="P27" s="12">
        <f t="shared" ref="P27" si="49">O27</f>
        <v>24000</v>
      </c>
      <c r="Q27" s="12">
        <f t="shared" ref="Q27" si="50">P27</f>
        <v>24000</v>
      </c>
      <c r="R27" s="12">
        <f t="shared" ref="R27" si="51">Q27</f>
        <v>24000</v>
      </c>
      <c r="S27" s="12">
        <f t="shared" ref="S27" si="52">R27</f>
        <v>24000</v>
      </c>
      <c r="T27" s="12">
        <f t="shared" ref="T27" si="53">S27</f>
        <v>24000</v>
      </c>
      <c r="U27" s="12">
        <f t="shared" ref="U27" si="54">T27</f>
        <v>24000</v>
      </c>
      <c r="V27" s="12">
        <f t="shared" ref="V27" si="55">U27</f>
        <v>24000</v>
      </c>
      <c r="W27" s="12">
        <f t="shared" ref="W27" si="56">V27</f>
        <v>24000</v>
      </c>
      <c r="X27" s="12">
        <f t="shared" ref="X27" si="57">W27</f>
        <v>24000</v>
      </c>
      <c r="Y27" s="12">
        <f t="shared" ref="Y27" si="58">X27</f>
        <v>24000</v>
      </c>
      <c r="Z27" s="12">
        <f t="shared" ref="Z27" si="59">Y27</f>
        <v>24000</v>
      </c>
    </row>
    <row r="28" spans="2:26" x14ac:dyDescent="0.25">
      <c r="B28" s="1" t="s">
        <v>28</v>
      </c>
      <c r="C28" s="3">
        <f t="shared" si="21"/>
        <v>0.16139231774620988</v>
      </c>
      <c r="D28" s="18">
        <f>SUM(D21:D27)</f>
        <v>627.50000000000011</v>
      </c>
      <c r="E28" s="18">
        <f>SUM(E21:E27)</f>
        <v>3765</v>
      </c>
      <c r="F28" s="18">
        <f>SUM(F21:F27)</f>
        <v>15060</v>
      </c>
      <c r="G28" s="30">
        <f>SUM(G21:G27)</f>
        <v>180720</v>
      </c>
      <c r="H28" s="29">
        <f>SUM(H21:H27)</f>
        <v>182174.4</v>
      </c>
      <c r="I28" s="29">
        <f t="shared" ref="I28:K28" si="60">SUM(I21:I27)</f>
        <v>183657.88799999998</v>
      </c>
      <c r="J28" s="29">
        <f t="shared" si="60"/>
        <v>185171.04575999998</v>
      </c>
      <c r="K28" s="29">
        <f t="shared" si="60"/>
        <v>186714.4666752</v>
      </c>
      <c r="L28" s="29">
        <f t="shared" ref="L28:Z28" si="61">SUM(L21:L27)</f>
        <v>188288.75600870399</v>
      </c>
      <c r="M28" s="29">
        <f t="shared" si="61"/>
        <v>189894.53112887806</v>
      </c>
      <c r="N28" s="29">
        <f t="shared" si="61"/>
        <v>191532.42175145561</v>
      </c>
      <c r="O28" s="29">
        <f t="shared" si="61"/>
        <v>193203.07018648472</v>
      </c>
      <c r="P28" s="29">
        <f t="shared" si="61"/>
        <v>194907.13159021441</v>
      </c>
      <c r="Q28" s="29">
        <f t="shared" si="61"/>
        <v>196645.27422201872</v>
      </c>
      <c r="R28" s="29">
        <f t="shared" si="61"/>
        <v>198418.17970645911</v>
      </c>
      <c r="S28" s="29">
        <f t="shared" si="61"/>
        <v>200226.5433005883</v>
      </c>
      <c r="T28" s="29">
        <f t="shared" si="61"/>
        <v>202071.07416660004</v>
      </c>
      <c r="U28" s="29">
        <f t="shared" si="61"/>
        <v>203952.49564993204</v>
      </c>
      <c r="V28" s="29">
        <f t="shared" si="61"/>
        <v>205871.5455629307</v>
      </c>
      <c r="W28" s="29">
        <f t="shared" si="61"/>
        <v>207828.97647418932</v>
      </c>
      <c r="X28" s="29">
        <f t="shared" si="61"/>
        <v>209825.55600367309</v>
      </c>
      <c r="Y28" s="29">
        <f t="shared" si="61"/>
        <v>211862.06712374659</v>
      </c>
      <c r="Z28" s="29">
        <f t="shared" si="61"/>
        <v>213939.3084662215</v>
      </c>
    </row>
    <row r="29" spans="2:26" x14ac:dyDescent="0.25">
      <c r="B29" s="1"/>
      <c r="C29" s="3"/>
    </row>
    <row r="30" spans="2:26" x14ac:dyDescent="0.25">
      <c r="B30" s="1" t="s">
        <v>31</v>
      </c>
      <c r="C30" s="3">
        <f>AVERAGE(G30:K30)/AVERAGE($G$7:$K$7)</f>
        <v>0.43424060539656439</v>
      </c>
      <c r="D30" s="17">
        <f>D14-D28</f>
        <v>1504</v>
      </c>
      <c r="E30" s="17">
        <f t="shared" ref="E30:G30" si="62">E14-E28</f>
        <v>9024</v>
      </c>
      <c r="F30" s="17">
        <f t="shared" si="62"/>
        <v>36096</v>
      </c>
      <c r="G30" s="26">
        <f t="shared" si="62"/>
        <v>433152</v>
      </c>
      <c r="H30" s="26">
        <f>H14-H28</f>
        <v>462164.39999999991</v>
      </c>
      <c r="I30" s="26">
        <f t="shared" ref="I30:K30" si="63">I14-I28</f>
        <v>492664.47480000014</v>
      </c>
      <c r="J30" s="26">
        <f t="shared" si="63"/>
        <v>524727.29004120012</v>
      </c>
      <c r="K30" s="26">
        <f t="shared" si="63"/>
        <v>558431.67656823469</v>
      </c>
      <c r="L30" s="26">
        <f t="shared" ref="L30:Z30" si="64">L14-L28</f>
        <v>571513.29959551338</v>
      </c>
      <c r="M30" s="26">
        <f t="shared" si="64"/>
        <v>584856.65388753917</v>
      </c>
      <c r="N30" s="26">
        <f t="shared" si="64"/>
        <v>598466.97403008561</v>
      </c>
      <c r="O30" s="26">
        <f t="shared" si="64"/>
        <v>612349.59930065705</v>
      </c>
      <c r="P30" s="26">
        <f t="shared" si="64"/>
        <v>626509.97576232383</v>
      </c>
      <c r="Q30" s="26">
        <f t="shared" si="64"/>
        <v>640953.6583994336</v>
      </c>
      <c r="R30" s="26">
        <f t="shared" si="64"/>
        <v>655686.31329603679</v>
      </c>
      <c r="S30" s="26">
        <f t="shared" si="64"/>
        <v>670713.71985788085</v>
      </c>
      <c r="T30" s="26">
        <f t="shared" si="64"/>
        <v>686041.77307884314</v>
      </c>
      <c r="U30" s="26">
        <f t="shared" si="64"/>
        <v>701676.4858526953</v>
      </c>
      <c r="V30" s="26">
        <f t="shared" si="64"/>
        <v>717623.99133109977</v>
      </c>
      <c r="W30" s="26">
        <f t="shared" si="64"/>
        <v>733890.54532876739</v>
      </c>
      <c r="X30" s="26">
        <f t="shared" si="64"/>
        <v>750482.52877671993</v>
      </c>
      <c r="Y30" s="26">
        <f t="shared" si="64"/>
        <v>767406.45022461517</v>
      </c>
      <c r="Z30" s="26">
        <f t="shared" si="64"/>
        <v>784668.9483931195</v>
      </c>
    </row>
    <row r="31" spans="2:26" x14ac:dyDescent="0.25">
      <c r="B31" s="14" t="s">
        <v>39</v>
      </c>
      <c r="C31" s="3"/>
      <c r="D31" s="23">
        <f t="shared" ref="D31:F31" si="65">D30/D7</f>
        <v>0.4204053109713487</v>
      </c>
      <c r="E31" s="23">
        <f t="shared" si="65"/>
        <v>0.4204053109713487</v>
      </c>
      <c r="F31" s="23">
        <f t="shared" si="65"/>
        <v>0.4204053109713487</v>
      </c>
      <c r="G31" s="23">
        <f>G30/G7</f>
        <v>0.4204053109713487</v>
      </c>
      <c r="H31" s="23">
        <f t="shared" ref="H31:K31" si="66">H30/H7</f>
        <v>0.4272933329339284</v>
      </c>
      <c r="I31" s="23">
        <f t="shared" si="66"/>
        <v>0.43389118741331434</v>
      </c>
      <c r="J31" s="23">
        <f t="shared" si="66"/>
        <v>0.44021153824311127</v>
      </c>
      <c r="K31" s="23">
        <f t="shared" si="66"/>
        <v>0.44626648302227057</v>
      </c>
      <c r="L31" s="23">
        <f t="shared" ref="L31:Z31" si="67">L30/L7</f>
        <v>0.44785192972977772</v>
      </c>
      <c r="M31" s="23">
        <f t="shared" si="67"/>
        <v>0.44940692699724788</v>
      </c>
      <c r="N31" s="23">
        <f t="shared" si="67"/>
        <v>0.4509320479015369</v>
      </c>
      <c r="O31" s="23">
        <f t="shared" si="67"/>
        <v>0.45242785518924944</v>
      </c>
      <c r="P31" s="23">
        <f t="shared" si="67"/>
        <v>0.45389490144513572</v>
      </c>
      <c r="Q31" s="23">
        <f t="shared" si="67"/>
        <v>0.45533372925845744</v>
      </c>
      <c r="R31" s="23">
        <f t="shared" si="67"/>
        <v>0.45674487138731551</v>
      </c>
      <c r="S31" s="23">
        <f t="shared" si="67"/>
        <v>0.45812885092093608</v>
      </c>
      <c r="T31" s="23">
        <f t="shared" si="67"/>
        <v>0.45948618143991027</v>
      </c>
      <c r="U31" s="23">
        <f t="shared" si="67"/>
        <v>0.46081736717438887</v>
      </c>
      <c r="V31" s="23">
        <f t="shared" si="67"/>
        <v>0.46212290316022958</v>
      </c>
      <c r="W31" s="23">
        <f t="shared" si="67"/>
        <v>0.46340327539309945</v>
      </c>
      <c r="X31" s="23">
        <f t="shared" si="67"/>
        <v>0.46465896098053566</v>
      </c>
      <c r="Y31" s="23">
        <f t="shared" si="67"/>
        <v>0.46589042829196842</v>
      </c>
      <c r="Z31" s="23">
        <f t="shared" si="67"/>
        <v>0.46709813710671028</v>
      </c>
    </row>
    <row r="32" spans="2:26" x14ac:dyDescent="0.25">
      <c r="B32" s="1" t="s">
        <v>44</v>
      </c>
      <c r="C32" s="3"/>
      <c r="D32" s="21"/>
      <c r="E32" s="21"/>
      <c r="F32" s="21"/>
      <c r="G32" s="22"/>
    </row>
    <row r="33" spans="2:26" x14ac:dyDescent="0.25">
      <c r="B33" t="s">
        <v>46</v>
      </c>
      <c r="C33" s="3">
        <f>AVERAGE(G33:K33)/AVERAGE($G$7:$K$7)</f>
        <v>0.13461458767293494</v>
      </c>
      <c r="D33" s="12">
        <f>IF(D30&lt;0,0,D30*Inputs!$C$76)</f>
        <v>466.24</v>
      </c>
      <c r="E33" s="12">
        <f>IF(E30&lt;0,0,E30*Inputs!$C$76)</f>
        <v>2797.44</v>
      </c>
      <c r="F33" s="12">
        <f>IF(F30&lt;0,0,F30*Inputs!$C$76)</f>
        <v>11189.76</v>
      </c>
      <c r="G33" s="32">
        <f>IF(G30&lt;0,0,G30*Inputs!$C$76)</f>
        <v>134277.12</v>
      </c>
      <c r="H33" s="32">
        <f>IF(H30&lt;0,0,H30*Inputs!$C$76)</f>
        <v>143270.96399999998</v>
      </c>
      <c r="I33" s="32">
        <f>IF(I30&lt;0,0,I30*Inputs!$C$76)</f>
        <v>152725.98718800006</v>
      </c>
      <c r="J33" s="32">
        <f>IF(J30&lt;0,0,J30*Inputs!$C$76)</f>
        <v>162665.45991277203</v>
      </c>
      <c r="K33" s="32">
        <f>IF(K30&lt;0,0,K30*Inputs!$C$76)</f>
        <v>173113.81973615274</v>
      </c>
      <c r="L33" s="32">
        <f>IF(L30&lt;0,0,L30*Inputs!$C$76)</f>
        <v>177169.12287460914</v>
      </c>
      <c r="M33" s="32">
        <f>IF(M30&lt;0,0,M30*Inputs!$C$76)</f>
        <v>181305.56270513716</v>
      </c>
      <c r="N33" s="32">
        <f>IF(N30&lt;0,0,N30*Inputs!$C$76)</f>
        <v>185524.76194932652</v>
      </c>
      <c r="O33" s="32">
        <f>IF(O30&lt;0,0,O30*Inputs!$C$76)</f>
        <v>189828.37578320369</v>
      </c>
      <c r="P33" s="32">
        <f>IF(P30&lt;0,0,P30*Inputs!$C$76)</f>
        <v>194218.09248632038</v>
      </c>
      <c r="Q33" s="32">
        <f>IF(Q30&lt;0,0,Q30*Inputs!$C$76)</f>
        <v>198695.63410382441</v>
      </c>
      <c r="R33" s="32">
        <f>IF(R30&lt;0,0,R30*Inputs!$C$76)</f>
        <v>203262.7571217714</v>
      </c>
      <c r="S33" s="32">
        <f>IF(S30&lt;0,0,S30*Inputs!$C$76)</f>
        <v>207921.25315594306</v>
      </c>
      <c r="T33" s="32">
        <f>IF(T30&lt;0,0,T30*Inputs!$C$76)</f>
        <v>212672.94965444139</v>
      </c>
      <c r="U33" s="32">
        <f>IF(U30&lt;0,0,U30*Inputs!$C$76)</f>
        <v>217519.71061433555</v>
      </c>
      <c r="V33" s="32">
        <f>IF(V30&lt;0,0,V30*Inputs!$C$76)</f>
        <v>222463.43731264092</v>
      </c>
      <c r="W33" s="32">
        <f>IF(W30&lt;0,0,W30*Inputs!$C$76)</f>
        <v>227506.06905191788</v>
      </c>
      <c r="X33" s="32">
        <f>IF(X30&lt;0,0,X30*Inputs!$C$76)</f>
        <v>232649.58392078319</v>
      </c>
      <c r="Y33" s="32">
        <f>IF(Y30&lt;0,0,Y30*Inputs!$C$76)</f>
        <v>237895.99956963069</v>
      </c>
      <c r="Z33" s="32">
        <f>IF(Z30&lt;0,0,Z30*Inputs!$C$76)</f>
        <v>243247.37400186705</v>
      </c>
    </row>
    <row r="34" spans="2:26" ht="15.75" thickBot="1" x14ac:dyDescent="0.3">
      <c r="B34" s="1" t="s">
        <v>47</v>
      </c>
      <c r="C34" s="3">
        <f>AVERAGE(G34:K34)/AVERAGE($G$7:$K$7)</f>
        <v>0.2996260177236294</v>
      </c>
      <c r="D34" s="19">
        <f>D30-D33</f>
        <v>1037.76</v>
      </c>
      <c r="E34" s="19">
        <f t="shared" ref="E34:G34" si="68">E30-E33</f>
        <v>6226.5599999999995</v>
      </c>
      <c r="F34" s="19">
        <f t="shared" si="68"/>
        <v>24906.239999999998</v>
      </c>
      <c r="G34" s="27">
        <f t="shared" si="68"/>
        <v>298874.88</v>
      </c>
      <c r="H34" s="27">
        <f t="shared" ref="H34" si="69">H30-H33</f>
        <v>318893.43599999993</v>
      </c>
      <c r="I34" s="27">
        <f t="shared" ref="I34" si="70">I30-I33</f>
        <v>339938.48761200008</v>
      </c>
      <c r="J34" s="27">
        <f t="shared" ref="J34" si="71">J30-J33</f>
        <v>362061.83012842806</v>
      </c>
      <c r="K34" s="27">
        <f t="shared" ref="K34:Z34" si="72">K30-K33</f>
        <v>385317.85683208192</v>
      </c>
      <c r="L34" s="27">
        <f t="shared" si="72"/>
        <v>394344.17672090424</v>
      </c>
      <c r="M34" s="27">
        <f t="shared" si="72"/>
        <v>403551.09118240199</v>
      </c>
      <c r="N34" s="27">
        <f t="shared" si="72"/>
        <v>412942.21208075911</v>
      </c>
      <c r="O34" s="27">
        <f t="shared" si="72"/>
        <v>422521.22351745336</v>
      </c>
      <c r="P34" s="27">
        <f t="shared" si="72"/>
        <v>432291.88327600341</v>
      </c>
      <c r="Q34" s="27">
        <f t="shared" si="72"/>
        <v>442258.02429560921</v>
      </c>
      <c r="R34" s="27">
        <f t="shared" si="72"/>
        <v>452423.5561742654</v>
      </c>
      <c r="S34" s="27">
        <f t="shared" si="72"/>
        <v>462792.46670193778</v>
      </c>
      <c r="T34" s="27">
        <f t="shared" si="72"/>
        <v>473368.82342440175</v>
      </c>
      <c r="U34" s="27">
        <f t="shared" si="72"/>
        <v>484156.77523835975</v>
      </c>
      <c r="V34" s="27">
        <f t="shared" si="72"/>
        <v>495160.55401845882</v>
      </c>
      <c r="W34" s="27">
        <f t="shared" si="72"/>
        <v>506384.47627684951</v>
      </c>
      <c r="X34" s="27">
        <f t="shared" si="72"/>
        <v>517832.94485593674</v>
      </c>
      <c r="Y34" s="27">
        <f t="shared" si="72"/>
        <v>529510.45065498445</v>
      </c>
      <c r="Z34" s="27">
        <f t="shared" si="72"/>
        <v>541421.57439125248</v>
      </c>
    </row>
    <row r="35" spans="2:26" ht="15.75" thickTop="1" x14ac:dyDescent="0.25">
      <c r="B35" s="14" t="s">
        <v>49</v>
      </c>
      <c r="C35" s="3"/>
      <c r="D35" s="23">
        <f>D34/D7</f>
        <v>0.2900796645702306</v>
      </c>
      <c r="E35" s="23">
        <f t="shared" ref="E35:F35" si="73">E34/E7</f>
        <v>0.2900796645702306</v>
      </c>
      <c r="F35" s="23">
        <f t="shared" si="73"/>
        <v>0.2900796645702306</v>
      </c>
      <c r="G35" s="23">
        <f>G34/G7</f>
        <v>0.2900796645702306</v>
      </c>
      <c r="H35" s="23">
        <f t="shared" ref="H35:K35" si="74">H34/H7</f>
        <v>0.29483239972441055</v>
      </c>
      <c r="I35" s="23">
        <f t="shared" si="74"/>
        <v>0.2993849193151869</v>
      </c>
      <c r="J35" s="23">
        <f t="shared" si="74"/>
        <v>0.30374596138774673</v>
      </c>
      <c r="K35" s="23">
        <f t="shared" si="74"/>
        <v>0.30792387328536669</v>
      </c>
      <c r="L35" s="23">
        <f t="shared" ref="L35:Z35" si="75">L34/L7</f>
        <v>0.30901783151354667</v>
      </c>
      <c r="M35" s="23">
        <f t="shared" si="75"/>
        <v>0.310090779628101</v>
      </c>
      <c r="N35" s="23">
        <f t="shared" si="75"/>
        <v>0.31114311305206049</v>
      </c>
      <c r="O35" s="23">
        <f t="shared" si="75"/>
        <v>0.31217522008058213</v>
      </c>
      <c r="P35" s="23">
        <f t="shared" si="75"/>
        <v>0.31318748199714364</v>
      </c>
      <c r="Q35" s="23">
        <f t="shared" si="75"/>
        <v>0.31418027318833563</v>
      </c>
      <c r="R35" s="23">
        <f t="shared" si="75"/>
        <v>0.31515396125724771</v>
      </c>
      <c r="S35" s="23">
        <f t="shared" si="75"/>
        <v>0.31610890713544593</v>
      </c>
      <c r="T35" s="23">
        <f t="shared" si="75"/>
        <v>0.31704546519353805</v>
      </c>
      <c r="U35" s="23">
        <f t="shared" si="75"/>
        <v>0.31796398335032833</v>
      </c>
      <c r="V35" s="23">
        <f t="shared" si="75"/>
        <v>0.31886480318055843</v>
      </c>
      <c r="W35" s="23">
        <f t="shared" si="75"/>
        <v>0.31974826002123863</v>
      </c>
      <c r="X35" s="23">
        <f t="shared" si="75"/>
        <v>0.3206146830765696</v>
      </c>
      <c r="Y35" s="23">
        <f t="shared" si="75"/>
        <v>0.32146439552145817</v>
      </c>
      <c r="Z35" s="23">
        <f t="shared" si="75"/>
        <v>0.3222977146036301</v>
      </c>
    </row>
    <row r="36" spans="2:26" x14ac:dyDescent="0.25">
      <c r="C36" s="3"/>
    </row>
    <row r="37" spans="2:26" x14ac:dyDescent="0.25">
      <c r="B37" s="1" t="str">
        <f>"Reinvestment "&amp;"("&amp;Inputs!$C$57*100&amp;"%)"</f>
        <v>Reinvestment (10%)</v>
      </c>
      <c r="C37" s="3">
        <f>AVERAGE(G37:K37)/AVERAGE($G$7:$K$7)</f>
        <v>2.9962601772362943E-2</v>
      </c>
      <c r="D37" s="16">
        <f>IF(D34&lt;0,0,Inputs!$C$57*D30)</f>
        <v>150.4</v>
      </c>
      <c r="E37" s="16">
        <f>IF(E34&lt;0,0,Inputs!$C$57*E30)</f>
        <v>902.40000000000009</v>
      </c>
      <c r="F37" s="16">
        <f>IF(F34&lt;0,0,Inputs!$C$57*F30)</f>
        <v>3609.6000000000004</v>
      </c>
      <c r="G37" s="31">
        <f>IF(G34&lt;0,0,Inputs!$C$57*G34)</f>
        <v>29887.488000000001</v>
      </c>
      <c r="H37" s="31">
        <f>IF(H34&lt;0,0,Inputs!$C$57*H34)</f>
        <v>31889.343599999993</v>
      </c>
      <c r="I37" s="31">
        <f>IF(I34&lt;0,0,Inputs!$C$57*I34)</f>
        <v>33993.84876120001</v>
      </c>
      <c r="J37" s="31">
        <f>IF(J34&lt;0,0,Inputs!$C$57*J34)</f>
        <v>36206.183012842805</v>
      </c>
      <c r="K37" s="31">
        <f>IF(K34&lt;0,0,Inputs!$C$57*K34)</f>
        <v>38531.785683208196</v>
      </c>
      <c r="L37" s="31">
        <f>IF(L34&lt;0,0,Inputs!$C$57*L34)</f>
        <v>39434.417672090429</v>
      </c>
      <c r="M37" s="31">
        <f>IF(M34&lt;0,0,Inputs!$C$57*M34)</f>
        <v>40355.109118240201</v>
      </c>
      <c r="N37" s="31">
        <f>IF(N34&lt;0,0,Inputs!$C$57*N34)</f>
        <v>41294.221208075913</v>
      </c>
      <c r="O37" s="31">
        <f>IF(O34&lt;0,0,Inputs!$C$57*O34)</f>
        <v>42252.12235174534</v>
      </c>
      <c r="P37" s="31">
        <f>IF(P34&lt;0,0,Inputs!$C$57*P34)</f>
        <v>43229.188327600343</v>
      </c>
      <c r="Q37" s="31">
        <f>IF(Q34&lt;0,0,Inputs!$C$57*Q34)</f>
        <v>44225.802429560921</v>
      </c>
      <c r="R37" s="31">
        <f>IF(R34&lt;0,0,Inputs!$C$57*R34)</f>
        <v>45242.35561742654</v>
      </c>
      <c r="S37" s="31">
        <f>IF(S34&lt;0,0,Inputs!$C$57*S34)</f>
        <v>46279.246670193781</v>
      </c>
      <c r="T37" s="31">
        <f>IF(T34&lt;0,0,Inputs!$C$57*T34)</f>
        <v>47336.882342440178</v>
      </c>
      <c r="U37" s="31">
        <f>IF(U34&lt;0,0,Inputs!$C$57*U34)</f>
        <v>48415.677523835977</v>
      </c>
      <c r="V37" s="31">
        <f>IF(V34&lt;0,0,Inputs!$C$57*V34)</f>
        <v>49516.055401845886</v>
      </c>
      <c r="W37" s="31">
        <f>IF(W34&lt;0,0,Inputs!$C$57*W34)</f>
        <v>50638.447627684953</v>
      </c>
      <c r="X37" s="31">
        <f>IF(X34&lt;0,0,Inputs!$C$57*X34)</f>
        <v>51783.29448559368</v>
      </c>
      <c r="Y37" s="31">
        <f>IF(Y34&lt;0,0,Inputs!$C$57*Y34)</f>
        <v>52951.045065498445</v>
      </c>
      <c r="Z37" s="31">
        <f>IF(Z34&lt;0,0,Inputs!$C$57*Z34)</f>
        <v>54142.157439125251</v>
      </c>
    </row>
    <row r="38" spans="2:26" x14ac:dyDescent="0.25">
      <c r="B38" s="1" t="s">
        <v>48</v>
      </c>
      <c r="C38" s="3">
        <f>AVERAGE(G38:K38)/AVERAGE($G$7:$K$7)</f>
        <v>0.26966341595126642</v>
      </c>
      <c r="D38" s="21">
        <f>D34-D37</f>
        <v>887.36</v>
      </c>
      <c r="E38" s="21">
        <f t="shared" ref="E38:G38" si="76">E34-E37</f>
        <v>5324.16</v>
      </c>
      <c r="F38" s="21">
        <f t="shared" si="76"/>
        <v>21296.639999999999</v>
      </c>
      <c r="G38" s="28">
        <f t="shared" si="76"/>
        <v>268987.39199999999</v>
      </c>
      <c r="H38" s="28">
        <f t="shared" ref="H38" si="77">H34-H37</f>
        <v>287004.09239999996</v>
      </c>
      <c r="I38" s="28">
        <f t="shared" ref="I38" si="78">I34-I37</f>
        <v>305944.63885080005</v>
      </c>
      <c r="J38" s="28">
        <f t="shared" ref="J38" si="79">J34-J37</f>
        <v>325855.64711558528</v>
      </c>
      <c r="K38" s="28">
        <f t="shared" ref="K38:Z38" si="80">K34-K37</f>
        <v>346786.07114887371</v>
      </c>
      <c r="L38" s="28">
        <f t="shared" si="80"/>
        <v>354909.75904881384</v>
      </c>
      <c r="M38" s="28">
        <f t="shared" si="80"/>
        <v>363195.9820641618</v>
      </c>
      <c r="N38" s="28">
        <f t="shared" si="80"/>
        <v>371647.99087268318</v>
      </c>
      <c r="O38" s="28">
        <f t="shared" si="80"/>
        <v>380269.10116570804</v>
      </c>
      <c r="P38" s="28">
        <f t="shared" si="80"/>
        <v>389062.69494840305</v>
      </c>
      <c r="Q38" s="28">
        <f t="shared" si="80"/>
        <v>398032.22186604829</v>
      </c>
      <c r="R38" s="28">
        <f t="shared" si="80"/>
        <v>407181.20055683888</v>
      </c>
      <c r="S38" s="28">
        <f t="shared" si="80"/>
        <v>416513.22003174399</v>
      </c>
      <c r="T38" s="28">
        <f t="shared" si="80"/>
        <v>426031.94108196156</v>
      </c>
      <c r="U38" s="28">
        <f t="shared" si="80"/>
        <v>435741.09771452378</v>
      </c>
      <c r="V38" s="28">
        <f t="shared" si="80"/>
        <v>445644.49861661292</v>
      </c>
      <c r="W38" s="28">
        <f t="shared" si="80"/>
        <v>455746.02864916454</v>
      </c>
      <c r="X38" s="28">
        <f t="shared" si="80"/>
        <v>466049.65037034306</v>
      </c>
      <c r="Y38" s="28">
        <f t="shared" si="80"/>
        <v>476559.40558948601</v>
      </c>
      <c r="Z38" s="28">
        <f t="shared" si="80"/>
        <v>487279.41695212724</v>
      </c>
    </row>
    <row r="39" spans="2:26" x14ac:dyDescent="0.25">
      <c r="D39" s="15"/>
      <c r="E39" s="15"/>
      <c r="F39" s="15"/>
      <c r="G39" s="15"/>
    </row>
    <row r="40" spans="2:26" x14ac:dyDescent="0.25">
      <c r="B40" s="1"/>
    </row>
    <row r="41" spans="2:26" x14ac:dyDescent="0.25">
      <c r="G41" s="12"/>
    </row>
    <row r="51" spans="2:12" x14ac:dyDescent="0.25">
      <c r="L51" s="12"/>
    </row>
    <row r="53" spans="2:12" x14ac:dyDescent="0.25">
      <c r="L53" s="12"/>
    </row>
    <row r="57" spans="2:12" x14ac:dyDescent="0.25">
      <c r="G57" t="s">
        <v>105</v>
      </c>
      <c r="H57" t="s">
        <v>106</v>
      </c>
      <c r="I57" t="s">
        <v>107</v>
      </c>
    </row>
    <row r="58" spans="2:12" x14ac:dyDescent="0.25">
      <c r="B58" t="s">
        <v>97</v>
      </c>
      <c r="C58" s="5">
        <f>AVERAGE(G7:K7)/(Inputs!$C$71*Inputs!$C$72*4*12)</f>
        <v>87.819687108713509</v>
      </c>
      <c r="F58" t="s">
        <v>102</v>
      </c>
      <c r="G58" s="12">
        <f>AVERAGE(G7:K7)</f>
        <v>1138143.1449289271</v>
      </c>
      <c r="H58" s="12">
        <f>G58/12</f>
        <v>94845.262077410589</v>
      </c>
      <c r="I58" s="36">
        <f>H58/Inputs!$C$74</f>
        <v>3161.5087359136865</v>
      </c>
    </row>
    <row r="59" spans="2:12" x14ac:dyDescent="0.25">
      <c r="B59" t="s">
        <v>98</v>
      </c>
      <c r="C59" s="5">
        <f>AVERAGE(G7:K7)/Inputs!$C$62</f>
        <v>948.45262077410587</v>
      </c>
      <c r="F59" t="s">
        <v>103</v>
      </c>
      <c r="G59" s="12">
        <f>AVERAGE(G12:K12)</f>
        <v>460227.61656000011</v>
      </c>
      <c r="H59" s="12">
        <f t="shared" ref="H59" si="81">G59/12</f>
        <v>38352.301380000012</v>
      </c>
      <c r="I59" s="36">
        <f>H59/Inputs!$C$74</f>
        <v>1278.4100460000004</v>
      </c>
    </row>
    <row r="60" spans="2:12" x14ac:dyDescent="0.25">
      <c r="B60" t="s">
        <v>108</v>
      </c>
      <c r="C60" s="43">
        <f>AVERAGE($G$7:$K$7)/((Inputs!$C$73*Inputs!$C$67)*Inputs!$C$74*12)</f>
        <v>8.7819687108713502</v>
      </c>
    </row>
    <row r="61" spans="2:12" x14ac:dyDescent="0.25">
      <c r="B61" t="s">
        <v>96</v>
      </c>
      <c r="C61" s="3">
        <f>((AVERAGE(G12:K12)+AVERAGE(G21:K21))/AVERAGE($G$7:$K$7))</f>
        <v>0.46757586697503867</v>
      </c>
      <c r="D61" s="12"/>
      <c r="E61" s="12"/>
      <c r="F61" t="s">
        <v>104</v>
      </c>
      <c r="G61" s="12">
        <f>AVERAGE(G28:K28)</f>
        <v>183687.56008704001</v>
      </c>
      <c r="H61" s="12">
        <f>G61/12</f>
        <v>15307.29667392</v>
      </c>
      <c r="I61" s="36">
        <f>H61/Inputs!$C$74</f>
        <v>510.24322246399998</v>
      </c>
    </row>
    <row r="62" spans="2:12" x14ac:dyDescent="0.25">
      <c r="B62" t="s">
        <v>99</v>
      </c>
      <c r="C62" s="5">
        <f>(I61/((I58-I59)/I58))</f>
        <v>856.64039484549085</v>
      </c>
      <c r="D62" s="12"/>
      <c r="G62" s="12"/>
      <c r="H62" s="3"/>
    </row>
    <row r="63" spans="2:12" x14ac:dyDescent="0.25">
      <c r="B63" t="s">
        <v>101</v>
      </c>
      <c r="C63" s="5">
        <f>(((AVERAGE(G28:K28)-AVERAGE($G$26:$K$26)))/((Inputs!$C$73*Inputs!$C$74)*12))/12</f>
        <v>7.0867114231111117</v>
      </c>
      <c r="G63" s="36"/>
    </row>
    <row r="64" spans="2:12" x14ac:dyDescent="0.25">
      <c r="G64" s="36"/>
      <c r="H64" s="36"/>
    </row>
    <row r="65" spans="2:8" x14ac:dyDescent="0.25">
      <c r="B65" s="50" t="s">
        <v>56</v>
      </c>
      <c r="C65" s="50"/>
      <c r="D65" s="50"/>
      <c r="E65" s="50"/>
      <c r="F65" s="50"/>
      <c r="G65" s="50"/>
      <c r="H65" s="50"/>
    </row>
    <row r="66" spans="2:8" x14ac:dyDescent="0.25">
      <c r="C66" s="24" t="s">
        <v>34</v>
      </c>
      <c r="D66" s="24" t="s">
        <v>35</v>
      </c>
      <c r="E66" s="24" t="s">
        <v>36</v>
      </c>
      <c r="F66" s="24" t="s">
        <v>37</v>
      </c>
      <c r="G66" s="24" t="s">
        <v>38</v>
      </c>
      <c r="H66" s="1" t="s">
        <v>59</v>
      </c>
    </row>
    <row r="67" spans="2:8" x14ac:dyDescent="0.25">
      <c r="B67" t="s">
        <v>57</v>
      </c>
      <c r="C67" s="4">
        <f>C68-((Inputs!$C$52-Inputs!$C$51)*12)</f>
        <v>493152</v>
      </c>
      <c r="D67" s="4">
        <f>D68-((Inputs!$C$52-Inputs!$C$51)*12)</f>
        <v>522164.39999999991</v>
      </c>
      <c r="E67" s="4">
        <f>E68-((Inputs!$C$52-Inputs!$C$51)*12)</f>
        <v>552664.4748000002</v>
      </c>
      <c r="F67" s="4">
        <f>F68-((Inputs!$C$52-Inputs!$C$51)*12)</f>
        <v>584727.29004120012</v>
      </c>
      <c r="G67" s="4">
        <f>G68-((Inputs!$C$52-Inputs!$C$51)*12)</f>
        <v>618431.67656823469</v>
      </c>
      <c r="H67" s="12">
        <f>SUM(C67:G67)</f>
        <v>2771139.841409435</v>
      </c>
    </row>
    <row r="68" spans="2:8" x14ac:dyDescent="0.25">
      <c r="B68" t="s">
        <v>58</v>
      </c>
      <c r="C68" s="12">
        <f>G30</f>
        <v>433152</v>
      </c>
      <c r="D68" s="12">
        <f>H30</f>
        <v>462164.39999999991</v>
      </c>
      <c r="E68" s="12">
        <f>I30</f>
        <v>492664.47480000014</v>
      </c>
      <c r="F68" s="12">
        <f>J30</f>
        <v>524727.29004120012</v>
      </c>
      <c r="G68" s="12">
        <f>K30</f>
        <v>558431.67656823469</v>
      </c>
      <c r="H68" s="12">
        <f>SUM(C68:G68)</f>
        <v>2471139.841409435</v>
      </c>
    </row>
    <row r="69" spans="2:8" x14ac:dyDescent="0.25">
      <c r="B69" t="s">
        <v>60</v>
      </c>
      <c r="C69" s="16">
        <f>C67-C68</f>
        <v>60000</v>
      </c>
      <c r="D69" s="16">
        <f t="shared" ref="D69:H69" si="82">D67-D68</f>
        <v>60000</v>
      </c>
      <c r="E69" s="16">
        <f t="shared" si="82"/>
        <v>60000.000000000058</v>
      </c>
      <c r="F69" s="16">
        <f t="shared" si="82"/>
        <v>60000</v>
      </c>
      <c r="G69" s="16">
        <f t="shared" si="82"/>
        <v>60000</v>
      </c>
      <c r="H69" s="16">
        <f t="shared" si="82"/>
        <v>300000</v>
      </c>
    </row>
    <row r="70" spans="2:8" x14ac:dyDescent="0.25">
      <c r="B70" t="s">
        <v>61</v>
      </c>
      <c r="C70" s="4">
        <f>C67*Inputs!$C$76</f>
        <v>152877.12</v>
      </c>
      <c r="D70" s="4">
        <f>D67*Inputs!$C$76</f>
        <v>161870.96399999998</v>
      </c>
      <c r="E70" s="4">
        <f>E67*Inputs!$C$76</f>
        <v>171325.98718800006</v>
      </c>
      <c r="F70" s="4">
        <f>F67*Inputs!$C$76</f>
        <v>181265.45991277203</v>
      </c>
      <c r="G70" s="4">
        <f>G67*Inputs!$C$76</f>
        <v>191713.81973615274</v>
      </c>
      <c r="H70" s="12">
        <f>SUM(C70:G70)</f>
        <v>859053.35083692486</v>
      </c>
    </row>
    <row r="71" spans="2:8" x14ac:dyDescent="0.25">
      <c r="B71" t="s">
        <v>62</v>
      </c>
      <c r="C71" s="4">
        <f>C68*Inputs!$C$76</f>
        <v>134277.12</v>
      </c>
      <c r="D71" s="4">
        <f>D68*Inputs!$C$76</f>
        <v>143270.96399999998</v>
      </c>
      <c r="E71" s="4">
        <f>E68*Inputs!$C$76</f>
        <v>152725.98718800006</v>
      </c>
      <c r="F71" s="4">
        <f>F68*Inputs!$C$76</f>
        <v>162665.45991277203</v>
      </c>
      <c r="G71" s="4">
        <f>G68*Inputs!$C$76</f>
        <v>173113.81973615274</v>
      </c>
      <c r="H71" s="12">
        <f>SUM(C71:G71)</f>
        <v>766053.35083692486</v>
      </c>
    </row>
    <row r="72" spans="2:8" ht="15.75" thickBot="1" x14ac:dyDescent="0.3">
      <c r="B72" t="s">
        <v>63</v>
      </c>
      <c r="C72" s="35">
        <f>C71-C70</f>
        <v>-18600</v>
      </c>
      <c r="D72" s="35">
        <f t="shared" ref="D72:H72" si="83">D71-D70</f>
        <v>-18600</v>
      </c>
      <c r="E72" s="35">
        <f t="shared" si="83"/>
        <v>-18600</v>
      </c>
      <c r="F72" s="35">
        <f t="shared" si="83"/>
        <v>-18600</v>
      </c>
      <c r="G72" s="35">
        <f t="shared" si="83"/>
        <v>-18600</v>
      </c>
      <c r="H72" s="35">
        <f t="shared" si="83"/>
        <v>-93000</v>
      </c>
    </row>
    <row r="73" spans="2:8" ht="15.75" thickTop="1" x14ac:dyDescent="0.25">
      <c r="B73" t="s">
        <v>65</v>
      </c>
      <c r="C73" s="12">
        <f>C69+C72</f>
        <v>41400</v>
      </c>
      <c r="D73" s="12">
        <f t="shared" ref="D73:H73" si="84">D69+D72</f>
        <v>41400</v>
      </c>
      <c r="E73" s="12">
        <f t="shared" si="84"/>
        <v>41400.000000000058</v>
      </c>
      <c r="F73" s="12">
        <f t="shared" si="84"/>
        <v>41400</v>
      </c>
      <c r="G73" s="12">
        <f t="shared" si="84"/>
        <v>41400</v>
      </c>
      <c r="H73" s="12">
        <f t="shared" si="84"/>
        <v>207000</v>
      </c>
    </row>
  </sheetData>
  <mergeCells count="1">
    <mergeCell ref="B65:H65"/>
  </mergeCells>
  <phoneticPr fontId="7" type="noConversion"/>
  <pageMargins left="0.7" right="0.7" top="0.75" bottom="0.75" header="0.3" footer="0.3"/>
  <ignoredErrors>
    <ignoredError sqref="H26:K26 H24:K24 L24:Z24 G11 H23:Z23 H22:Z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Projections</vt:lpstr>
    </vt:vector>
  </TitlesOfParts>
  <Company>Apache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Combe, Charles</dc:creator>
  <cp:lastModifiedBy>Combe, Charles</cp:lastModifiedBy>
  <dcterms:created xsi:type="dcterms:W3CDTF">2024-04-02T20:21:30Z</dcterms:created>
  <dcterms:modified xsi:type="dcterms:W3CDTF">2025-06-26T02:35:29Z</dcterms:modified>
</cp:coreProperties>
</file>