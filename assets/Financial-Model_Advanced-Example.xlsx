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8_{E1B797A5-1533-46F1-8A30-F602C175E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umptions" sheetId="3" r:id="rId1"/>
    <sheet name="Cash flow forecast" sheetId="1" r:id="rId2"/>
    <sheet name="Formatting" sheetId="4" r:id="rId3"/>
    <sheet name="Unit Costs" sheetId="5" r:id="rId4"/>
  </sheets>
  <definedNames>
    <definedName name="Cash_Minimum">'Cash flow forecast'!#REF!</definedName>
    <definedName name="Start_Date">'Cash flow forecast'!#REF!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0" i="1" l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AC188" i="1" s="1"/>
  <c r="F188" i="1"/>
  <c r="E188" i="1"/>
  <c r="D188" i="1"/>
  <c r="AB188" i="1" s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7" i="1" s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AB186" i="1" s="1"/>
  <c r="Z185" i="1"/>
  <c r="Y185" i="1"/>
  <c r="X185" i="1"/>
  <c r="W185" i="1"/>
  <c r="V185" i="1"/>
  <c r="AI185" i="1" s="1"/>
  <c r="U185" i="1"/>
  <c r="T185" i="1"/>
  <c r="S185" i="1"/>
  <c r="R185" i="1"/>
  <c r="Q185" i="1"/>
  <c r="P185" i="1"/>
  <c r="AG185" i="1" s="1"/>
  <c r="O185" i="1"/>
  <c r="N185" i="1"/>
  <c r="M185" i="1"/>
  <c r="L185" i="1"/>
  <c r="K185" i="1"/>
  <c r="J185" i="1"/>
  <c r="AD185" i="1" s="1"/>
  <c r="I185" i="1"/>
  <c r="H185" i="1"/>
  <c r="G185" i="1"/>
  <c r="F185" i="1"/>
  <c r="E185" i="1"/>
  <c r="D185" i="1"/>
  <c r="AB185" i="1" s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AC182" i="1" s="1"/>
  <c r="F182" i="1"/>
  <c r="E182" i="1"/>
  <c r="D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90" i="1"/>
  <c r="C189" i="1"/>
  <c r="C188" i="1"/>
  <c r="C187" i="1"/>
  <c r="C186" i="1"/>
  <c r="C185" i="1"/>
  <c r="C184" i="1"/>
  <c r="C183" i="1"/>
  <c r="C182" i="1"/>
  <c r="C181" i="1"/>
  <c r="B190" i="1"/>
  <c r="B189" i="1"/>
  <c r="B188" i="1"/>
  <c r="B187" i="1"/>
  <c r="B186" i="1"/>
  <c r="B185" i="1"/>
  <c r="B184" i="1"/>
  <c r="B183" i="1"/>
  <c r="B182" i="1"/>
  <c r="B181" i="1"/>
  <c r="F168" i="3"/>
  <c r="F167" i="3"/>
  <c r="F166" i="3"/>
  <c r="F165" i="3"/>
  <c r="F164" i="3"/>
  <c r="F163" i="3"/>
  <c r="F162" i="3"/>
  <c r="F161" i="3"/>
  <c r="F160" i="3"/>
  <c r="F159" i="3"/>
  <c r="E207" i="1"/>
  <c r="B217" i="1"/>
  <c r="B216" i="1"/>
  <c r="B215" i="1"/>
  <c r="B214" i="1"/>
  <c r="B213" i="1"/>
  <c r="B212" i="1"/>
  <c r="Z212" i="1" s="1"/>
  <c r="B211" i="1"/>
  <c r="L211" i="1" s="1"/>
  <c r="B210" i="1"/>
  <c r="F210" i="1" s="1"/>
  <c r="B209" i="1"/>
  <c r="C209" i="1" s="1"/>
  <c r="B208" i="1"/>
  <c r="Z208" i="1" s="1"/>
  <c r="B207" i="1"/>
  <c r="Z207" i="1" s="1"/>
  <c r="B206" i="1"/>
  <c r="B205" i="1"/>
  <c r="B204" i="1"/>
  <c r="B203" i="1"/>
  <c r="B202" i="1"/>
  <c r="B201" i="1"/>
  <c r="B200" i="1"/>
  <c r="B199" i="1"/>
  <c r="B198" i="1"/>
  <c r="B197" i="1"/>
  <c r="B194" i="1"/>
  <c r="B193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F153" i="3"/>
  <c r="F155" i="3"/>
  <c r="F154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C2" i="5"/>
  <c r="C21" i="5" s="1"/>
  <c r="C25" i="3" s="1"/>
  <c r="AH188" i="1" l="1"/>
  <c r="AI190" i="1"/>
  <c r="AD181" i="1"/>
  <c r="AF182" i="1"/>
  <c r="AD188" i="1"/>
  <c r="AG181" i="1"/>
  <c r="AC184" i="1"/>
  <c r="AD187" i="1"/>
  <c r="AI187" i="1"/>
  <c r="AF190" i="1"/>
  <c r="AD186" i="1"/>
  <c r="AJ181" i="1"/>
  <c r="AJ185" i="1"/>
  <c r="AD184" i="1"/>
  <c r="AI184" i="1"/>
  <c r="AD183" i="1"/>
  <c r="AI183" i="1"/>
  <c r="AA186" i="1"/>
  <c r="AB189" i="1"/>
  <c r="AG189" i="1"/>
  <c r="AD182" i="1"/>
  <c r="AG188" i="1"/>
  <c r="AG183" i="1"/>
  <c r="AC187" i="1"/>
  <c r="AE181" i="1"/>
  <c r="AA181" i="1"/>
  <c r="AI182" i="1"/>
  <c r="AG187" i="1"/>
  <c r="AC190" i="1"/>
  <c r="AH190" i="1"/>
  <c r="AF183" i="1"/>
  <c r="AG186" i="1"/>
  <c r="AC189" i="1"/>
  <c r="AH189" i="1"/>
  <c r="AB182" i="1"/>
  <c r="AJ182" i="1"/>
  <c r="AJ183" i="1"/>
  <c r="AJ184" i="1"/>
  <c r="AC185" i="1"/>
  <c r="AH185" i="1"/>
  <c r="AC186" i="1"/>
  <c r="AI188" i="1"/>
  <c r="AD189" i="1"/>
  <c r="AI189" i="1"/>
  <c r="AA190" i="1"/>
  <c r="F191" i="1"/>
  <c r="R191" i="1"/>
  <c r="AB181" i="1"/>
  <c r="AH182" i="1"/>
  <c r="AC183" i="1"/>
  <c r="AH183" i="1"/>
  <c r="AI186" i="1"/>
  <c r="Z191" i="1"/>
  <c r="AF181" i="1"/>
  <c r="AF185" i="1"/>
  <c r="AA187" i="1"/>
  <c r="L191" i="1"/>
  <c r="X191" i="1"/>
  <c r="AF184" i="1"/>
  <c r="M191" i="1"/>
  <c r="Y191" i="1"/>
  <c r="AB184" i="1"/>
  <c r="AG184" i="1"/>
  <c r="AH187" i="1"/>
  <c r="AD190" i="1"/>
  <c r="AH184" i="1"/>
  <c r="AE189" i="1"/>
  <c r="AB183" i="1"/>
  <c r="AH186" i="1"/>
  <c r="G191" i="1"/>
  <c r="AC181" i="1"/>
  <c r="AH181" i="1"/>
  <c r="S191" i="1"/>
  <c r="AA188" i="1"/>
  <c r="AE188" i="1"/>
  <c r="N191" i="1"/>
  <c r="AF189" i="1"/>
  <c r="AJ189" i="1"/>
  <c r="AE190" i="1"/>
  <c r="AB190" i="1"/>
  <c r="AG190" i="1"/>
  <c r="AJ190" i="1"/>
  <c r="AE183" i="1"/>
  <c r="H191" i="1"/>
  <c r="T191" i="1"/>
  <c r="AJ188" i="1"/>
  <c r="AE184" i="1"/>
  <c r="I191" i="1"/>
  <c r="U191" i="1"/>
  <c r="AJ187" i="1"/>
  <c r="AE185" i="1"/>
  <c r="J191" i="1"/>
  <c r="V191" i="1"/>
  <c r="K191" i="1"/>
  <c r="W191" i="1"/>
  <c r="AJ186" i="1"/>
  <c r="AE187" i="1"/>
  <c r="AE186" i="1"/>
  <c r="AA182" i="1"/>
  <c r="C191" i="1"/>
  <c r="AE182" i="1"/>
  <c r="O191" i="1"/>
  <c r="AF188" i="1"/>
  <c r="D191" i="1"/>
  <c r="P191" i="1"/>
  <c r="AG182" i="1"/>
  <c r="AA185" i="1"/>
  <c r="E191" i="1"/>
  <c r="Q191" i="1"/>
  <c r="AF187" i="1"/>
  <c r="AA184" i="1"/>
  <c r="AF186" i="1"/>
  <c r="AI181" i="1"/>
  <c r="AA183" i="1"/>
  <c r="AA189" i="1"/>
  <c r="Y211" i="1"/>
  <c r="E208" i="1"/>
  <c r="Q209" i="1"/>
  <c r="R209" i="1"/>
  <c r="P210" i="1"/>
  <c r="R210" i="1"/>
  <c r="S210" i="1"/>
  <c r="X211" i="1"/>
  <c r="F209" i="1"/>
  <c r="L208" i="1"/>
  <c r="X210" i="1"/>
  <c r="G208" i="1"/>
  <c r="H208" i="1"/>
  <c r="J208" i="1"/>
  <c r="V208" i="1"/>
  <c r="G211" i="1"/>
  <c r="X208" i="1"/>
  <c r="H211" i="1"/>
  <c r="I208" i="1"/>
  <c r="T210" i="1"/>
  <c r="U210" i="1"/>
  <c r="Y208" i="1"/>
  <c r="V211" i="1"/>
  <c r="F207" i="1"/>
  <c r="G207" i="1"/>
  <c r="R207" i="1"/>
  <c r="R208" i="1"/>
  <c r="D210" i="1"/>
  <c r="J211" i="1"/>
  <c r="M208" i="1"/>
  <c r="O207" i="1"/>
  <c r="S209" i="1"/>
  <c r="P207" i="1"/>
  <c r="O208" i="1"/>
  <c r="T209" i="1"/>
  <c r="Q207" i="1"/>
  <c r="P208" i="1"/>
  <c r="C210" i="1"/>
  <c r="I211" i="1"/>
  <c r="S207" i="1"/>
  <c r="S208" i="1"/>
  <c r="E210" i="1"/>
  <c r="P211" i="1"/>
  <c r="D208" i="1"/>
  <c r="U208" i="1"/>
  <c r="U211" i="1"/>
  <c r="Z213" i="1"/>
  <c r="O213" i="1"/>
  <c r="C213" i="1"/>
  <c r="Z214" i="1"/>
  <c r="P214" i="1"/>
  <c r="O214" i="1"/>
  <c r="D214" i="1"/>
  <c r="C214" i="1"/>
  <c r="Z215" i="1"/>
  <c r="D215" i="1"/>
  <c r="C215" i="1"/>
  <c r="P215" i="1"/>
  <c r="O215" i="1"/>
  <c r="E215" i="1"/>
  <c r="Q215" i="1"/>
  <c r="Z216" i="1"/>
  <c r="R216" i="1"/>
  <c r="Q216" i="1"/>
  <c r="P216" i="1"/>
  <c r="O216" i="1"/>
  <c r="F216" i="1"/>
  <c r="E216" i="1"/>
  <c r="D216" i="1"/>
  <c r="C216" i="1"/>
  <c r="Z210" i="1"/>
  <c r="L210" i="1"/>
  <c r="I210" i="1"/>
  <c r="H210" i="1"/>
  <c r="G210" i="1"/>
  <c r="O210" i="1"/>
  <c r="Z209" i="1"/>
  <c r="P209" i="1"/>
  <c r="O209" i="1"/>
  <c r="H209" i="1"/>
  <c r="G209" i="1"/>
  <c r="Z211" i="1"/>
  <c r="T211" i="1"/>
  <c r="F211" i="1"/>
  <c r="E211" i="1"/>
  <c r="S211" i="1"/>
  <c r="R211" i="1"/>
  <c r="D211" i="1"/>
  <c r="Q211" i="1"/>
  <c r="C211" i="1"/>
  <c r="D209" i="1"/>
  <c r="M211" i="1"/>
  <c r="E209" i="1"/>
  <c r="Q210" i="1"/>
  <c r="O211" i="1"/>
  <c r="C208" i="1"/>
  <c r="Q208" i="1"/>
  <c r="C207" i="1"/>
  <c r="D207" i="1"/>
  <c r="F208" i="1"/>
  <c r="T208" i="1"/>
  <c r="C212" i="1"/>
  <c r="D212" i="1"/>
  <c r="E212" i="1"/>
  <c r="F212" i="1"/>
  <c r="F214" i="1"/>
  <c r="R215" i="1"/>
  <c r="S212" i="1"/>
  <c r="S213" i="1"/>
  <c r="G214" i="1"/>
  <c r="S214" i="1"/>
  <c r="G215" i="1"/>
  <c r="S215" i="1"/>
  <c r="G216" i="1"/>
  <c r="S216" i="1"/>
  <c r="H212" i="1"/>
  <c r="T213" i="1"/>
  <c r="T214" i="1"/>
  <c r="H215" i="1"/>
  <c r="H216" i="1"/>
  <c r="I209" i="1"/>
  <c r="U209" i="1"/>
  <c r="I212" i="1"/>
  <c r="U212" i="1"/>
  <c r="I213" i="1"/>
  <c r="U213" i="1"/>
  <c r="I214" i="1"/>
  <c r="U214" i="1"/>
  <c r="I215" i="1"/>
  <c r="U215" i="1"/>
  <c r="I216" i="1"/>
  <c r="U216" i="1"/>
  <c r="J209" i="1"/>
  <c r="V209" i="1"/>
  <c r="J210" i="1"/>
  <c r="V210" i="1"/>
  <c r="J212" i="1"/>
  <c r="V212" i="1"/>
  <c r="J213" i="1"/>
  <c r="V213" i="1"/>
  <c r="J214" i="1"/>
  <c r="V214" i="1"/>
  <c r="J215" i="1"/>
  <c r="V215" i="1"/>
  <c r="J216" i="1"/>
  <c r="V216" i="1"/>
  <c r="K208" i="1"/>
  <c r="W208" i="1"/>
  <c r="K209" i="1"/>
  <c r="W209" i="1"/>
  <c r="K210" i="1"/>
  <c r="W210" i="1"/>
  <c r="K211" i="1"/>
  <c r="W211" i="1"/>
  <c r="K212" i="1"/>
  <c r="W212" i="1"/>
  <c r="K213" i="1"/>
  <c r="W213" i="1"/>
  <c r="K214" i="1"/>
  <c r="W214" i="1"/>
  <c r="K215" i="1"/>
  <c r="W215" i="1"/>
  <c r="K216" i="1"/>
  <c r="W216" i="1"/>
  <c r="P212" i="1"/>
  <c r="P213" i="1"/>
  <c r="R212" i="1"/>
  <c r="R213" i="1"/>
  <c r="F215" i="1"/>
  <c r="G212" i="1"/>
  <c r="H213" i="1"/>
  <c r="T216" i="1"/>
  <c r="X209" i="1"/>
  <c r="L212" i="1"/>
  <c r="X215" i="1"/>
  <c r="O212" i="1"/>
  <c r="D213" i="1"/>
  <c r="Q212" i="1"/>
  <c r="E213" i="1"/>
  <c r="Q213" i="1"/>
  <c r="E214" i="1"/>
  <c r="Q214" i="1"/>
  <c r="F213" i="1"/>
  <c r="R214" i="1"/>
  <c r="G213" i="1"/>
  <c r="T212" i="1"/>
  <c r="H214" i="1"/>
  <c r="T215" i="1"/>
  <c r="L209" i="1"/>
  <c r="X212" i="1"/>
  <c r="L213" i="1"/>
  <c r="X213" i="1"/>
  <c r="L214" i="1"/>
  <c r="X214" i="1"/>
  <c r="L215" i="1"/>
  <c r="L216" i="1"/>
  <c r="X216" i="1"/>
  <c r="M209" i="1"/>
  <c r="Y209" i="1"/>
  <c r="M210" i="1"/>
  <c r="Y210" i="1"/>
  <c r="M212" i="1"/>
  <c r="Y212" i="1"/>
  <c r="M213" i="1"/>
  <c r="Y213" i="1"/>
  <c r="M214" i="1"/>
  <c r="Y214" i="1"/>
  <c r="M215" i="1"/>
  <c r="Y215" i="1"/>
  <c r="M216" i="1"/>
  <c r="Y216" i="1"/>
  <c r="N208" i="1"/>
  <c r="N209" i="1"/>
  <c r="N210" i="1"/>
  <c r="N211" i="1"/>
  <c r="N212" i="1"/>
  <c r="N213" i="1"/>
  <c r="N214" i="1"/>
  <c r="N215" i="1"/>
  <c r="N216" i="1"/>
  <c r="H207" i="1"/>
  <c r="V207" i="1"/>
  <c r="W207" i="1"/>
  <c r="T207" i="1"/>
  <c r="I207" i="1"/>
  <c r="U207" i="1"/>
  <c r="J207" i="1"/>
  <c r="K207" i="1"/>
  <c r="L207" i="1"/>
  <c r="X207" i="1"/>
  <c r="M207" i="1"/>
  <c r="Y207" i="1"/>
  <c r="N207" i="1"/>
  <c r="C24" i="5"/>
  <c r="C28" i="3" s="1"/>
  <c r="C40" i="5"/>
  <c r="C44" i="3" s="1"/>
  <c r="C30" i="5"/>
  <c r="C34" i="3" s="1"/>
  <c r="C38" i="5"/>
  <c r="C42" i="3" s="1"/>
  <c r="C39" i="5"/>
  <c r="C43" i="3" s="1"/>
  <c r="C14" i="5"/>
  <c r="C18" i="3" s="1"/>
  <c r="C22" i="5"/>
  <c r="C26" i="3" s="1"/>
  <c r="C31" i="5"/>
  <c r="C35" i="3" s="1"/>
  <c r="C25" i="5"/>
  <c r="C29" i="3" s="1"/>
  <c r="C32" i="5"/>
  <c r="C36" i="3" s="1"/>
  <c r="C37" i="5"/>
  <c r="C41" i="3" s="1"/>
  <c r="C33" i="5"/>
  <c r="C37" i="3" s="1"/>
  <c r="C41" i="5"/>
  <c r="C45" i="3" s="1"/>
  <c r="C23" i="5"/>
  <c r="C27" i="3" s="1"/>
  <c r="C17" i="5"/>
  <c r="C7" i="5"/>
  <c r="C11" i="3" s="1"/>
  <c r="C16" i="5"/>
  <c r="C20" i="3" s="1"/>
  <c r="C13" i="5"/>
  <c r="C17" i="3" s="1"/>
  <c r="C6" i="5"/>
  <c r="C10" i="3" s="1"/>
  <c r="C15" i="5"/>
  <c r="C19" i="3" s="1"/>
  <c r="C5" i="5"/>
  <c r="C9" i="3" s="1"/>
  <c r="C29" i="5"/>
  <c r="C33" i="3" s="1"/>
  <c r="C9" i="5"/>
  <c r="C8" i="5"/>
  <c r="C12" i="3" s="1"/>
  <c r="AG191" i="1" l="1"/>
  <c r="AD191" i="1"/>
  <c r="AF191" i="1"/>
  <c r="AB191" i="1"/>
  <c r="AA191" i="1"/>
  <c r="AJ191" i="1"/>
  <c r="AH191" i="1"/>
  <c r="AC191" i="1"/>
  <c r="AI191" i="1"/>
  <c r="AE191" i="1"/>
  <c r="AJ211" i="1"/>
  <c r="AJ208" i="1"/>
  <c r="AE208" i="1"/>
  <c r="AJ210" i="1"/>
  <c r="AJ214" i="1"/>
  <c r="AE211" i="1"/>
  <c r="AE216" i="1"/>
  <c r="AE214" i="1"/>
  <c r="AJ212" i="1"/>
  <c r="AJ209" i="1"/>
  <c r="AE215" i="1"/>
  <c r="AE209" i="1"/>
  <c r="AJ213" i="1"/>
  <c r="AJ215" i="1"/>
  <c r="AJ216" i="1"/>
  <c r="AE213" i="1"/>
  <c r="AE210" i="1"/>
  <c r="AE212" i="1"/>
  <c r="AE207" i="1"/>
  <c r="AJ207" i="1"/>
  <c r="C42" i="5"/>
  <c r="C13" i="3"/>
  <c r="C21" i="3"/>
  <c r="B47" i="4" l="1"/>
  <c r="B45" i="4"/>
  <c r="B43" i="4"/>
  <c r="C47" i="4"/>
  <c r="C45" i="4"/>
  <c r="C43" i="4"/>
  <c r="C37" i="4"/>
  <c r="C35" i="4"/>
  <c r="C33" i="4"/>
  <c r="B37" i="4"/>
  <c r="B35" i="4"/>
  <c r="B33" i="4"/>
  <c r="E43" i="4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E33" i="4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C27" i="4"/>
  <c r="C25" i="4"/>
  <c r="C23" i="4"/>
  <c r="B27" i="4"/>
  <c r="B25" i="4"/>
  <c r="B23" i="4"/>
  <c r="E23" i="4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C46" i="3"/>
  <c r="B45" i="3"/>
  <c r="D45" i="3" s="1"/>
  <c r="B44" i="3"/>
  <c r="D44" i="3" s="1"/>
  <c r="B43" i="3"/>
  <c r="D43" i="3" s="1"/>
  <c r="B42" i="3"/>
  <c r="D42" i="3" s="1"/>
  <c r="B41" i="3"/>
  <c r="D41" i="3" s="1"/>
  <c r="D101" i="3"/>
  <c r="C101" i="3"/>
  <c r="B92" i="3" s="1"/>
  <c r="B101" i="3"/>
  <c r="E100" i="3"/>
  <c r="E99" i="3"/>
  <c r="E98" i="3"/>
  <c r="E97" i="3"/>
  <c r="E96" i="3"/>
  <c r="B90" i="3"/>
  <c r="C88" i="3" s="1"/>
  <c r="C90" i="3" s="1"/>
  <c r="D83" i="3"/>
  <c r="C83" i="3"/>
  <c r="B74" i="3" s="1"/>
  <c r="B83" i="3"/>
  <c r="E82" i="3"/>
  <c r="E81" i="3"/>
  <c r="E80" i="3"/>
  <c r="E79" i="3"/>
  <c r="E78" i="3"/>
  <c r="B72" i="3"/>
  <c r="C70" i="3" s="1"/>
  <c r="C72" i="3" s="1"/>
  <c r="B53" i="3"/>
  <c r="C51" i="3" s="1"/>
  <c r="E64" i="3"/>
  <c r="E63" i="3"/>
  <c r="E62" i="3"/>
  <c r="E61" i="3"/>
  <c r="E60" i="3"/>
  <c r="D65" i="3"/>
  <c r="C65" i="3"/>
  <c r="B56" i="3" s="1"/>
  <c r="B65" i="3"/>
  <c r="C34" i="5"/>
  <c r="C26" i="5"/>
  <c r="C18" i="5"/>
  <c r="C10" i="5"/>
  <c r="Z102" i="1"/>
  <c r="Y102" i="1"/>
  <c r="X102" i="1"/>
  <c r="W102" i="1"/>
  <c r="V102" i="1"/>
  <c r="U102" i="1"/>
  <c r="T102" i="1"/>
  <c r="S102" i="1"/>
  <c r="R102" i="1"/>
  <c r="Q102" i="1"/>
  <c r="O102" i="1"/>
  <c r="N102" i="1"/>
  <c r="M102" i="1"/>
  <c r="L102" i="1"/>
  <c r="J102" i="1"/>
  <c r="I102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5" i="1"/>
  <c r="C38" i="3"/>
  <c r="C30" i="3"/>
  <c r="C22" i="3"/>
  <c r="C14" i="3"/>
  <c r="B37" i="3"/>
  <c r="D37" i="3" s="1"/>
  <c r="B36" i="3"/>
  <c r="D36" i="3" s="1"/>
  <c r="B35" i="3"/>
  <c r="D35" i="3" s="1"/>
  <c r="B34" i="3"/>
  <c r="D34" i="3" s="1"/>
  <c r="B33" i="3"/>
  <c r="D33" i="3" s="1"/>
  <c r="B29" i="3"/>
  <c r="D29" i="3" s="1"/>
  <c r="B28" i="3"/>
  <c r="D28" i="3" s="1"/>
  <c r="B27" i="3"/>
  <c r="D27" i="3" s="1"/>
  <c r="B26" i="3"/>
  <c r="D26" i="3" s="1"/>
  <c r="B25" i="3"/>
  <c r="D25" i="3" s="1"/>
  <c r="B21" i="3"/>
  <c r="D21" i="3" s="1"/>
  <c r="B20" i="3"/>
  <c r="D20" i="3" s="1"/>
  <c r="B19" i="3"/>
  <c r="D19" i="3" s="1"/>
  <c r="B18" i="3"/>
  <c r="D18" i="3" s="1"/>
  <c r="B17" i="3"/>
  <c r="D17" i="3" s="1"/>
  <c r="B13" i="3"/>
  <c r="D13" i="3" s="1"/>
  <c r="B12" i="3"/>
  <c r="D12" i="3" s="1"/>
  <c r="B11" i="3"/>
  <c r="D11" i="3" s="1"/>
  <c r="B10" i="3"/>
  <c r="D10" i="3" s="1"/>
  <c r="B9" i="3"/>
  <c r="D9" i="3" s="1"/>
  <c r="C172" i="1" l="1"/>
  <c r="C167" i="1"/>
  <c r="C177" i="1"/>
  <c r="C170" i="1"/>
  <c r="C168" i="1"/>
  <c r="C160" i="1"/>
  <c r="C159" i="1"/>
  <c r="C169" i="1"/>
  <c r="C217" i="1"/>
  <c r="C176" i="1"/>
  <c r="C166" i="1"/>
  <c r="C165" i="1"/>
  <c r="C175" i="1"/>
  <c r="C163" i="1"/>
  <c r="C173" i="1"/>
  <c r="C161" i="1"/>
  <c r="C200" i="1"/>
  <c r="C162" i="1"/>
  <c r="C202" i="1"/>
  <c r="C204" i="1"/>
  <c r="C197" i="1"/>
  <c r="C205" i="1"/>
  <c r="C203" i="1"/>
  <c r="C171" i="1"/>
  <c r="C158" i="1"/>
  <c r="C201" i="1"/>
  <c r="C198" i="1"/>
  <c r="C199" i="1"/>
  <c r="C178" i="1"/>
  <c r="C206" i="1"/>
  <c r="C164" i="1"/>
  <c r="C174" i="1"/>
  <c r="C193" i="1"/>
  <c r="C194" i="1"/>
  <c r="D5" i="1"/>
  <c r="C87" i="1"/>
  <c r="C43" i="1"/>
  <c r="C42" i="1"/>
  <c r="C53" i="1"/>
  <c r="C149" i="1" s="1"/>
  <c r="C49" i="1"/>
  <c r="C145" i="1" s="1"/>
  <c r="C47" i="1"/>
  <c r="C143" i="1" s="1"/>
  <c r="C88" i="1"/>
  <c r="C91" i="1"/>
  <c r="C90" i="1"/>
  <c r="C41" i="1"/>
  <c r="C40" i="1"/>
  <c r="C39" i="1"/>
  <c r="C89" i="1"/>
  <c r="A45" i="4"/>
  <c r="N46" i="4" s="1"/>
  <c r="A35" i="4"/>
  <c r="P36" i="4" s="1"/>
  <c r="E101" i="3"/>
  <c r="A37" i="4"/>
  <c r="L38" i="4" s="1"/>
  <c r="N38" i="4"/>
  <c r="O38" i="4"/>
  <c r="A33" i="4"/>
  <c r="F34" i="4" s="1"/>
  <c r="D46" i="3"/>
  <c r="E46" i="3" s="1"/>
  <c r="E45" i="4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P45" i="4" s="1"/>
  <c r="Q45" i="4" s="1"/>
  <c r="R45" i="4" s="1"/>
  <c r="S45" i="4" s="1"/>
  <c r="T45" i="4" s="1"/>
  <c r="E47" i="4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A47" i="4"/>
  <c r="G48" i="4" s="1"/>
  <c r="A43" i="4"/>
  <c r="T44" i="4" s="1"/>
  <c r="A27" i="4"/>
  <c r="A23" i="4"/>
  <c r="F23" i="4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E27" i="4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A25" i="4"/>
  <c r="P4" i="1"/>
  <c r="E83" i="3"/>
  <c r="B46" i="3"/>
  <c r="C53" i="3"/>
  <c r="E65" i="3"/>
  <c r="D22" i="3"/>
  <c r="E22" i="3" s="1"/>
  <c r="K98" i="1"/>
  <c r="F98" i="1"/>
  <c r="R98" i="1"/>
  <c r="R104" i="1" s="1"/>
  <c r="G98" i="1"/>
  <c r="S98" i="1"/>
  <c r="S104" i="1" s="1"/>
  <c r="T98" i="1"/>
  <c r="T104" i="1" s="1"/>
  <c r="U98" i="1"/>
  <c r="U104" i="1" s="1"/>
  <c r="V98" i="1"/>
  <c r="V104" i="1" s="1"/>
  <c r="O98" i="1"/>
  <c r="O104" i="1" s="1"/>
  <c r="J98" i="1"/>
  <c r="J104" i="1" s="1"/>
  <c r="P98" i="1"/>
  <c r="Q98" i="1"/>
  <c r="Q104" i="1" s="1"/>
  <c r="W98" i="1"/>
  <c r="W104" i="1" s="1"/>
  <c r="Y98" i="1"/>
  <c r="Y104" i="1" s="1"/>
  <c r="M98" i="1"/>
  <c r="M104" i="1" s="1"/>
  <c r="H102" i="1"/>
  <c r="AE101" i="1"/>
  <c r="D102" i="1"/>
  <c r="P102" i="1"/>
  <c r="F102" i="1"/>
  <c r="I98" i="1"/>
  <c r="I104" i="1" s="1"/>
  <c r="X98" i="1"/>
  <c r="X104" i="1" s="1"/>
  <c r="AJ101" i="1"/>
  <c r="AE95" i="1"/>
  <c r="AJ95" i="1"/>
  <c r="E102" i="1"/>
  <c r="AJ97" i="1"/>
  <c r="AE97" i="1"/>
  <c r="D98" i="1"/>
  <c r="K102" i="1"/>
  <c r="Z98" i="1"/>
  <c r="Z104" i="1" s="1"/>
  <c r="L98" i="1"/>
  <c r="L104" i="1" s="1"/>
  <c r="N98" i="1"/>
  <c r="N104" i="1" s="1"/>
  <c r="C102" i="1"/>
  <c r="C3" i="1"/>
  <c r="C6" i="1"/>
  <c r="AA5" i="1" s="1"/>
  <c r="D38" i="3"/>
  <c r="E38" i="3" s="1"/>
  <c r="D30" i="3"/>
  <c r="E30" i="3" s="1"/>
  <c r="D14" i="3"/>
  <c r="E14" i="3" s="1"/>
  <c r="B30" i="3"/>
  <c r="B38" i="3"/>
  <c r="B14" i="3"/>
  <c r="B22" i="3"/>
  <c r="D167" i="1" l="1"/>
  <c r="D158" i="1"/>
  <c r="D177" i="1"/>
  <c r="D168" i="1"/>
  <c r="D160" i="1"/>
  <c r="D159" i="1"/>
  <c r="D169" i="1"/>
  <c r="D170" i="1"/>
  <c r="D217" i="1"/>
  <c r="D165" i="1"/>
  <c r="D166" i="1"/>
  <c r="D175" i="1"/>
  <c r="D163" i="1"/>
  <c r="D202" i="1"/>
  <c r="D197" i="1"/>
  <c r="D204" i="1"/>
  <c r="D203" i="1"/>
  <c r="D171" i="1"/>
  <c r="D178" i="1"/>
  <c r="D172" i="1"/>
  <c r="D162" i="1"/>
  <c r="D174" i="1"/>
  <c r="D206" i="1"/>
  <c r="D198" i="1"/>
  <c r="D205" i="1"/>
  <c r="D176" i="1"/>
  <c r="D164" i="1"/>
  <c r="D200" i="1"/>
  <c r="D173" i="1"/>
  <c r="D161" i="1"/>
  <c r="D199" i="1"/>
  <c r="D201" i="1"/>
  <c r="C218" i="1"/>
  <c r="C179" i="1"/>
  <c r="D43" i="1"/>
  <c r="D193" i="1"/>
  <c r="D194" i="1"/>
  <c r="C195" i="1"/>
  <c r="E38" i="4"/>
  <c r="D3" i="1"/>
  <c r="Q46" i="4"/>
  <c r="D6" i="1"/>
  <c r="E5" i="1"/>
  <c r="M46" i="4"/>
  <c r="L46" i="4"/>
  <c r="R38" i="4"/>
  <c r="I46" i="4"/>
  <c r="P38" i="4"/>
  <c r="G46" i="4"/>
  <c r="T36" i="4"/>
  <c r="D39" i="1"/>
  <c r="K46" i="4"/>
  <c r="K36" i="4"/>
  <c r="D42" i="1"/>
  <c r="O46" i="4"/>
  <c r="J46" i="4"/>
  <c r="D40" i="1"/>
  <c r="T46" i="4"/>
  <c r="I36" i="4"/>
  <c r="J36" i="4"/>
  <c r="K38" i="4"/>
  <c r="S38" i="4"/>
  <c r="H38" i="4"/>
  <c r="F38" i="4"/>
  <c r="I38" i="4"/>
  <c r="H36" i="4"/>
  <c r="G38" i="4"/>
  <c r="F36" i="4"/>
  <c r="T38" i="4"/>
  <c r="Q38" i="4"/>
  <c r="H46" i="4"/>
  <c r="N36" i="4"/>
  <c r="E36" i="4"/>
  <c r="S46" i="4"/>
  <c r="M36" i="4"/>
  <c r="Q36" i="4"/>
  <c r="R46" i="4"/>
  <c r="L36" i="4"/>
  <c r="D90" i="1"/>
  <c r="D53" i="1"/>
  <c r="D52" i="1" s="1"/>
  <c r="D54" i="1" s="1"/>
  <c r="D150" i="1" s="1"/>
  <c r="D49" i="1"/>
  <c r="D145" i="1" s="1"/>
  <c r="D47" i="1"/>
  <c r="D143" i="1" s="1"/>
  <c r="D88" i="1"/>
  <c r="D91" i="1"/>
  <c r="D87" i="1"/>
  <c r="D89" i="1"/>
  <c r="O36" i="4"/>
  <c r="S36" i="4"/>
  <c r="F46" i="4"/>
  <c r="G36" i="4"/>
  <c r="E46" i="4"/>
  <c r="P46" i="4"/>
  <c r="R36" i="4"/>
  <c r="D41" i="1"/>
  <c r="C52" i="1"/>
  <c r="C48" i="1"/>
  <c r="C50" i="1" s="1"/>
  <c r="G34" i="4"/>
  <c r="S34" i="4"/>
  <c r="J38" i="4"/>
  <c r="S48" i="4"/>
  <c r="H34" i="4"/>
  <c r="H48" i="4"/>
  <c r="T34" i="4"/>
  <c r="G44" i="4"/>
  <c r="J44" i="4"/>
  <c r="M38" i="4"/>
  <c r="Q48" i="4"/>
  <c r="E34" i="4"/>
  <c r="T48" i="4"/>
  <c r="M34" i="4"/>
  <c r="I44" i="4"/>
  <c r="Q26" i="4"/>
  <c r="P26" i="4"/>
  <c r="O26" i="4"/>
  <c r="N26" i="4"/>
  <c r="M26" i="4"/>
  <c r="E26" i="4"/>
  <c r="L26" i="4"/>
  <c r="K26" i="4"/>
  <c r="J26" i="4"/>
  <c r="I26" i="4"/>
  <c r="T26" i="4"/>
  <c r="H26" i="4"/>
  <c r="S26" i="4"/>
  <c r="G26" i="4"/>
  <c r="R26" i="4"/>
  <c r="F26" i="4"/>
  <c r="M24" i="4"/>
  <c r="L24" i="4"/>
  <c r="K24" i="4"/>
  <c r="J24" i="4"/>
  <c r="I24" i="4"/>
  <c r="T24" i="4"/>
  <c r="H24" i="4"/>
  <c r="S24" i="4"/>
  <c r="G24" i="4"/>
  <c r="R24" i="4"/>
  <c r="F24" i="4"/>
  <c r="Q24" i="4"/>
  <c r="E24" i="4"/>
  <c r="P24" i="4"/>
  <c r="O24" i="4"/>
  <c r="N24" i="4"/>
  <c r="J48" i="4"/>
  <c r="L34" i="4"/>
  <c r="R34" i="4"/>
  <c r="T28" i="4"/>
  <c r="H28" i="4"/>
  <c r="S28" i="4"/>
  <c r="G28" i="4"/>
  <c r="R28" i="4"/>
  <c r="F28" i="4"/>
  <c r="Q28" i="4"/>
  <c r="E28" i="4"/>
  <c r="P28" i="4"/>
  <c r="O28" i="4"/>
  <c r="N28" i="4"/>
  <c r="M28" i="4"/>
  <c r="L28" i="4"/>
  <c r="K28" i="4"/>
  <c r="J28" i="4"/>
  <c r="I28" i="4"/>
  <c r="E48" i="4"/>
  <c r="N34" i="4"/>
  <c r="I34" i="4"/>
  <c r="H44" i="4"/>
  <c r="I48" i="4"/>
  <c r="O34" i="4"/>
  <c r="K34" i="4"/>
  <c r="R44" i="4"/>
  <c r="N48" i="4"/>
  <c r="P34" i="4"/>
  <c r="J34" i="4"/>
  <c r="F44" i="4"/>
  <c r="O48" i="4"/>
  <c r="Q34" i="4"/>
  <c r="Q44" i="4"/>
  <c r="P48" i="4"/>
  <c r="C139" i="1"/>
  <c r="D20" i="1"/>
  <c r="C20" i="1"/>
  <c r="D29" i="1"/>
  <c r="C29" i="1"/>
  <c r="Q4" i="1"/>
  <c r="L48" i="4"/>
  <c r="K48" i="4"/>
  <c r="M48" i="4"/>
  <c r="R48" i="4"/>
  <c r="F48" i="4"/>
  <c r="P44" i="4"/>
  <c r="O44" i="4"/>
  <c r="L44" i="4"/>
  <c r="S44" i="4"/>
  <c r="E44" i="4"/>
  <c r="N44" i="4"/>
  <c r="K44" i="4"/>
  <c r="M44" i="4"/>
  <c r="G23" i="4"/>
  <c r="C92" i="1"/>
  <c r="C135" i="1"/>
  <c r="K104" i="1"/>
  <c r="D104" i="1"/>
  <c r="P104" i="1"/>
  <c r="F104" i="1"/>
  <c r="G102" i="1"/>
  <c r="E98" i="1"/>
  <c r="E104" i="1" s="1"/>
  <c r="AE96" i="1"/>
  <c r="AE98" i="1" s="1"/>
  <c r="C98" i="1"/>
  <c r="C104" i="1" s="1"/>
  <c r="AJ96" i="1"/>
  <c r="AJ98" i="1" s="1"/>
  <c r="AJ100" i="1"/>
  <c r="AJ102" i="1" s="1"/>
  <c r="AE100" i="1"/>
  <c r="AE102" i="1" s="1"/>
  <c r="H98" i="1"/>
  <c r="H104" i="1" s="1"/>
  <c r="AB5" i="1"/>
  <c r="AA6" i="1"/>
  <c r="C220" i="1" l="1"/>
  <c r="D218" i="1"/>
  <c r="E167" i="1"/>
  <c r="E177" i="1"/>
  <c r="E170" i="1"/>
  <c r="E172" i="1"/>
  <c r="E168" i="1"/>
  <c r="E160" i="1"/>
  <c r="E159" i="1"/>
  <c r="E205" i="1"/>
  <c r="E169" i="1"/>
  <c r="E217" i="1"/>
  <c r="E165" i="1"/>
  <c r="E166" i="1"/>
  <c r="E197" i="1"/>
  <c r="E176" i="1"/>
  <c r="E161" i="1"/>
  <c r="E171" i="1"/>
  <c r="E199" i="1"/>
  <c r="E202" i="1"/>
  <c r="E204" i="1"/>
  <c r="E198" i="1"/>
  <c r="E162" i="1"/>
  <c r="E174" i="1"/>
  <c r="E175" i="1"/>
  <c r="E203" i="1"/>
  <c r="E164" i="1"/>
  <c r="E206" i="1"/>
  <c r="E201" i="1"/>
  <c r="E200" i="1"/>
  <c r="E173" i="1"/>
  <c r="E163" i="1"/>
  <c r="E178" i="1"/>
  <c r="E158" i="1"/>
  <c r="D195" i="1"/>
  <c r="D179" i="1"/>
  <c r="E91" i="1"/>
  <c r="E193" i="1"/>
  <c r="E194" i="1"/>
  <c r="E20" i="1"/>
  <c r="E29" i="1"/>
  <c r="E88" i="1"/>
  <c r="E47" i="1"/>
  <c r="E143" i="1" s="1"/>
  <c r="E49" i="1"/>
  <c r="E145" i="1" s="1"/>
  <c r="F5" i="1"/>
  <c r="E53" i="1"/>
  <c r="E149" i="1" s="1"/>
  <c r="E90" i="1"/>
  <c r="E19" i="1"/>
  <c r="E39" i="1"/>
  <c r="E41" i="1"/>
  <c r="E42" i="1"/>
  <c r="E89" i="1"/>
  <c r="E6" i="1"/>
  <c r="E40" i="1"/>
  <c r="E87" i="1"/>
  <c r="E3" i="1"/>
  <c r="E43" i="1"/>
  <c r="C10" i="1"/>
  <c r="E10" i="1"/>
  <c r="D10" i="1"/>
  <c r="D92" i="1"/>
  <c r="D48" i="1"/>
  <c r="D144" i="1" s="1"/>
  <c r="D149" i="1"/>
  <c r="C19" i="1"/>
  <c r="C21" i="1" s="1"/>
  <c r="D19" i="1"/>
  <c r="D75" i="1" s="1"/>
  <c r="C144" i="1"/>
  <c r="D148" i="1"/>
  <c r="C148" i="1"/>
  <c r="C54" i="1"/>
  <c r="C150" i="1" s="1"/>
  <c r="H23" i="4"/>
  <c r="R4" i="1"/>
  <c r="D28" i="1"/>
  <c r="E28" i="1"/>
  <c r="C28" i="1"/>
  <c r="D139" i="1"/>
  <c r="C136" i="1"/>
  <c r="C138" i="1"/>
  <c r="C137" i="1"/>
  <c r="AB6" i="1"/>
  <c r="C146" i="1"/>
  <c r="AE104" i="1"/>
  <c r="AJ104" i="1"/>
  <c r="G104" i="1"/>
  <c r="C44" i="1"/>
  <c r="C140" i="1" s="1"/>
  <c r="AC5" i="1"/>
  <c r="D220" i="1" l="1"/>
  <c r="E74" i="1"/>
  <c r="E218" i="1"/>
  <c r="F177" i="1"/>
  <c r="F160" i="1"/>
  <c r="F168" i="1"/>
  <c r="F167" i="1"/>
  <c r="F159" i="1"/>
  <c r="F158" i="1"/>
  <c r="F169" i="1"/>
  <c r="F205" i="1"/>
  <c r="F165" i="1"/>
  <c r="F172" i="1"/>
  <c r="F163" i="1"/>
  <c r="F206" i="1"/>
  <c r="F200" i="1"/>
  <c r="F197" i="1"/>
  <c r="F173" i="1"/>
  <c r="F202" i="1"/>
  <c r="F162" i="1"/>
  <c r="F174" i="1"/>
  <c r="F175" i="1"/>
  <c r="F166" i="1"/>
  <c r="F203" i="1"/>
  <c r="F178" i="1"/>
  <c r="F199" i="1"/>
  <c r="F204" i="1"/>
  <c r="F161" i="1"/>
  <c r="F198" i="1"/>
  <c r="F170" i="1"/>
  <c r="F176" i="1"/>
  <c r="F171" i="1"/>
  <c r="F201" i="1"/>
  <c r="F164" i="1"/>
  <c r="F217" i="1"/>
  <c r="E195" i="1"/>
  <c r="E179" i="1"/>
  <c r="E139" i="1"/>
  <c r="F47" i="1"/>
  <c r="F193" i="1"/>
  <c r="F194" i="1"/>
  <c r="F89" i="1"/>
  <c r="E72" i="1"/>
  <c r="F88" i="1"/>
  <c r="E75" i="1"/>
  <c r="E71" i="1"/>
  <c r="E24" i="1"/>
  <c r="D24" i="1"/>
  <c r="E21" i="1"/>
  <c r="E23" i="1"/>
  <c r="E25" i="1"/>
  <c r="E92" i="1"/>
  <c r="E22" i="1"/>
  <c r="E73" i="1"/>
  <c r="F91" i="1"/>
  <c r="F28" i="1"/>
  <c r="F49" i="1"/>
  <c r="F145" i="1" s="1"/>
  <c r="F53" i="1"/>
  <c r="F149" i="1" s="1"/>
  <c r="G5" i="1"/>
  <c r="F42" i="1"/>
  <c r="E52" i="1"/>
  <c r="E54" i="1" s="1"/>
  <c r="E150" i="1" s="1"/>
  <c r="F3" i="1"/>
  <c r="F43" i="1"/>
  <c r="F6" i="1"/>
  <c r="F41" i="1"/>
  <c r="F20" i="1"/>
  <c r="F39" i="1"/>
  <c r="E48" i="1"/>
  <c r="E144" i="1" s="1"/>
  <c r="F29" i="1"/>
  <c r="F40" i="1"/>
  <c r="F19" i="1"/>
  <c r="F90" i="1"/>
  <c r="F87" i="1"/>
  <c r="F10" i="1"/>
  <c r="C74" i="1"/>
  <c r="C71" i="1"/>
  <c r="C119" i="1" s="1"/>
  <c r="C75" i="1"/>
  <c r="D50" i="1"/>
  <c r="D56" i="1" s="1"/>
  <c r="D152" i="1" s="1"/>
  <c r="C24" i="1"/>
  <c r="C72" i="1"/>
  <c r="F143" i="1"/>
  <c r="D74" i="1"/>
  <c r="C22" i="1"/>
  <c r="C25" i="1"/>
  <c r="D21" i="1"/>
  <c r="D71" i="1"/>
  <c r="C73" i="1"/>
  <c r="D25" i="1"/>
  <c r="D123" i="1" s="1"/>
  <c r="D73" i="1"/>
  <c r="D72" i="1"/>
  <c r="C23" i="1"/>
  <c r="D22" i="1"/>
  <c r="S4" i="1"/>
  <c r="T4" i="1" s="1"/>
  <c r="D23" i="1"/>
  <c r="C56" i="1"/>
  <c r="C152" i="1" s="1"/>
  <c r="I23" i="4"/>
  <c r="E78" i="1"/>
  <c r="E79" i="1"/>
  <c r="E81" i="1"/>
  <c r="E80" i="1"/>
  <c r="E82" i="1"/>
  <c r="C82" i="1"/>
  <c r="C81" i="1"/>
  <c r="C80" i="1"/>
  <c r="C79" i="1"/>
  <c r="C78" i="1"/>
  <c r="D78" i="1"/>
  <c r="D79" i="1"/>
  <c r="D81" i="1"/>
  <c r="D80" i="1"/>
  <c r="D82" i="1"/>
  <c r="E30" i="1"/>
  <c r="E31" i="1"/>
  <c r="E32" i="1"/>
  <c r="E33" i="1"/>
  <c r="E34" i="1"/>
  <c r="D31" i="1"/>
  <c r="D32" i="1"/>
  <c r="D30" i="1"/>
  <c r="D34" i="1"/>
  <c r="D33" i="1"/>
  <c r="C33" i="1"/>
  <c r="C30" i="1"/>
  <c r="C32" i="1"/>
  <c r="C31" i="1"/>
  <c r="C34" i="1"/>
  <c r="D138" i="1"/>
  <c r="D136" i="1"/>
  <c r="D137" i="1"/>
  <c r="D135" i="1"/>
  <c r="D44" i="1"/>
  <c r="D140" i="1" s="1"/>
  <c r="AD5" i="1"/>
  <c r="E220" i="1" l="1"/>
  <c r="G170" i="1"/>
  <c r="G205" i="1"/>
  <c r="G177" i="1"/>
  <c r="G168" i="1"/>
  <c r="G172" i="1"/>
  <c r="G165" i="1"/>
  <c r="G171" i="1"/>
  <c r="G159" i="1"/>
  <c r="G167" i="1"/>
  <c r="G158" i="1"/>
  <c r="G174" i="1"/>
  <c r="G169" i="1"/>
  <c r="G202" i="1"/>
  <c r="G217" i="1"/>
  <c r="G197" i="1"/>
  <c r="G162" i="1"/>
  <c r="G166" i="1"/>
  <c r="G160" i="1"/>
  <c r="G203" i="1"/>
  <c r="G204" i="1"/>
  <c r="G161" i="1"/>
  <c r="G173" i="1"/>
  <c r="G176" i="1"/>
  <c r="G198" i="1"/>
  <c r="G163" i="1"/>
  <c r="G164" i="1"/>
  <c r="G199" i="1"/>
  <c r="G206" i="1"/>
  <c r="G201" i="1"/>
  <c r="G178" i="1"/>
  <c r="G175" i="1"/>
  <c r="G200" i="1"/>
  <c r="E122" i="1"/>
  <c r="F218" i="1"/>
  <c r="F195" i="1"/>
  <c r="F179" i="1"/>
  <c r="G3" i="1"/>
  <c r="G194" i="1"/>
  <c r="G193" i="1"/>
  <c r="E26" i="1"/>
  <c r="E123" i="1"/>
  <c r="F82" i="1"/>
  <c r="F139" i="1"/>
  <c r="E148" i="1"/>
  <c r="E121" i="1"/>
  <c r="E120" i="1"/>
  <c r="D122" i="1"/>
  <c r="F74" i="1"/>
  <c r="E119" i="1"/>
  <c r="G88" i="1"/>
  <c r="H5" i="1"/>
  <c r="G19" i="1"/>
  <c r="E50" i="1"/>
  <c r="E56" i="1" s="1"/>
  <c r="E152" i="1" s="1"/>
  <c r="F52" i="1"/>
  <c r="F54" i="1" s="1"/>
  <c r="G10" i="1"/>
  <c r="G91" i="1"/>
  <c r="G20" i="1"/>
  <c r="G89" i="1"/>
  <c r="F34" i="1"/>
  <c r="G29" i="1"/>
  <c r="G90" i="1"/>
  <c r="F23" i="1"/>
  <c r="G41" i="1"/>
  <c r="G47" i="1"/>
  <c r="G143" i="1" s="1"/>
  <c r="G43" i="1"/>
  <c r="G40" i="1"/>
  <c r="G42" i="1"/>
  <c r="G53" i="1"/>
  <c r="G149" i="1" s="1"/>
  <c r="G6" i="1"/>
  <c r="G39" i="1"/>
  <c r="F25" i="1"/>
  <c r="G49" i="1"/>
  <c r="G145" i="1" s="1"/>
  <c r="G87" i="1"/>
  <c r="F32" i="1"/>
  <c r="G28" i="1"/>
  <c r="F31" i="1"/>
  <c r="F30" i="1"/>
  <c r="F81" i="1"/>
  <c r="F33" i="1"/>
  <c r="F80" i="1"/>
  <c r="F75" i="1"/>
  <c r="F79" i="1"/>
  <c r="F72" i="1"/>
  <c r="F73" i="1"/>
  <c r="F78" i="1"/>
  <c r="F71" i="1"/>
  <c r="F21" i="1"/>
  <c r="F92" i="1"/>
  <c r="C122" i="1"/>
  <c r="F24" i="1"/>
  <c r="F48" i="1"/>
  <c r="F144" i="1" s="1"/>
  <c r="F22" i="1"/>
  <c r="C123" i="1"/>
  <c r="D146" i="1"/>
  <c r="D121" i="1"/>
  <c r="E127" i="1"/>
  <c r="C120" i="1"/>
  <c r="C26" i="1"/>
  <c r="D26" i="1"/>
  <c r="D119" i="1"/>
  <c r="C121" i="1"/>
  <c r="D120" i="1"/>
  <c r="E129" i="1"/>
  <c r="J23" i="4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D11" i="1" s="1"/>
  <c r="D129" i="1"/>
  <c r="D128" i="1"/>
  <c r="D127" i="1"/>
  <c r="E128" i="1"/>
  <c r="D130" i="1"/>
  <c r="C130" i="1"/>
  <c r="E126" i="1"/>
  <c r="E35" i="1"/>
  <c r="C128" i="1"/>
  <c r="C126" i="1"/>
  <c r="C35" i="1"/>
  <c r="C127" i="1"/>
  <c r="D126" i="1"/>
  <c r="D35" i="1"/>
  <c r="C129" i="1"/>
  <c r="E130" i="1"/>
  <c r="U4" i="1"/>
  <c r="E136" i="1"/>
  <c r="E138" i="1"/>
  <c r="E137" i="1"/>
  <c r="E135" i="1"/>
  <c r="E44" i="1"/>
  <c r="F220" i="1" l="1"/>
  <c r="H41" i="1"/>
  <c r="H160" i="1"/>
  <c r="H177" i="1"/>
  <c r="H165" i="1"/>
  <c r="H205" i="1"/>
  <c r="H158" i="1"/>
  <c r="H171" i="1"/>
  <c r="H168" i="1"/>
  <c r="H159" i="1"/>
  <c r="H167" i="1"/>
  <c r="H172" i="1"/>
  <c r="H198" i="1"/>
  <c r="H202" i="1"/>
  <c r="H178" i="1"/>
  <c r="H199" i="1"/>
  <c r="H203" i="1"/>
  <c r="H161" i="1"/>
  <c r="H217" i="1"/>
  <c r="H176" i="1"/>
  <c r="H197" i="1"/>
  <c r="H163" i="1"/>
  <c r="H206" i="1"/>
  <c r="H169" i="1"/>
  <c r="H201" i="1"/>
  <c r="H164" i="1"/>
  <c r="H162" i="1"/>
  <c r="H173" i="1"/>
  <c r="H170" i="1"/>
  <c r="H166" i="1"/>
  <c r="H175" i="1"/>
  <c r="H204" i="1"/>
  <c r="H200" i="1"/>
  <c r="H174" i="1"/>
  <c r="G218" i="1"/>
  <c r="F122" i="1"/>
  <c r="F130" i="1"/>
  <c r="F121" i="1"/>
  <c r="G23" i="1"/>
  <c r="H47" i="1"/>
  <c r="H143" i="1" s="1"/>
  <c r="H194" i="1"/>
  <c r="H193" i="1"/>
  <c r="G195" i="1"/>
  <c r="G179" i="1"/>
  <c r="H49" i="1"/>
  <c r="H145" i="1" s="1"/>
  <c r="E146" i="1"/>
  <c r="F123" i="1"/>
  <c r="G74" i="1"/>
  <c r="G71" i="1"/>
  <c r="G24" i="1"/>
  <c r="G22" i="1"/>
  <c r="G25" i="1"/>
  <c r="G75" i="1"/>
  <c r="G21" i="1"/>
  <c r="G73" i="1"/>
  <c r="F128" i="1"/>
  <c r="G92" i="1"/>
  <c r="H3" i="1"/>
  <c r="F120" i="1"/>
  <c r="G33" i="1"/>
  <c r="H19" i="1"/>
  <c r="H53" i="1"/>
  <c r="H149" i="1" s="1"/>
  <c r="H29" i="1"/>
  <c r="H89" i="1"/>
  <c r="H20" i="1"/>
  <c r="H42" i="1"/>
  <c r="G81" i="1"/>
  <c r="H39" i="1"/>
  <c r="G78" i="1"/>
  <c r="H88" i="1"/>
  <c r="G82" i="1"/>
  <c r="H91" i="1"/>
  <c r="H40" i="1"/>
  <c r="H6" i="1"/>
  <c r="F50" i="1"/>
  <c r="F146" i="1" s="1"/>
  <c r="H10" i="1"/>
  <c r="G32" i="1"/>
  <c r="G52" i="1"/>
  <c r="G54" i="1" s="1"/>
  <c r="F35" i="1"/>
  <c r="G139" i="1"/>
  <c r="I5" i="1"/>
  <c r="F148" i="1"/>
  <c r="H90" i="1"/>
  <c r="F127" i="1"/>
  <c r="H28" i="1"/>
  <c r="F119" i="1"/>
  <c r="G31" i="1"/>
  <c r="H87" i="1"/>
  <c r="G79" i="1"/>
  <c r="H43" i="1"/>
  <c r="G80" i="1"/>
  <c r="G30" i="1"/>
  <c r="G34" i="1"/>
  <c r="G72" i="1"/>
  <c r="G48" i="1"/>
  <c r="G50" i="1" s="1"/>
  <c r="G146" i="1" s="1"/>
  <c r="F126" i="1"/>
  <c r="F26" i="1"/>
  <c r="F129" i="1"/>
  <c r="F150" i="1"/>
  <c r="E11" i="1"/>
  <c r="E14" i="1" s="1"/>
  <c r="H11" i="1"/>
  <c r="C11" i="1"/>
  <c r="C66" i="1" s="1"/>
  <c r="F11" i="1"/>
  <c r="F65" i="1" s="1"/>
  <c r="D12" i="1"/>
  <c r="D15" i="1"/>
  <c r="D14" i="1"/>
  <c r="D64" i="1"/>
  <c r="D67" i="1"/>
  <c r="D65" i="1"/>
  <c r="D68" i="1"/>
  <c r="D66" i="1"/>
  <c r="D16" i="1"/>
  <c r="D13" i="1"/>
  <c r="G11" i="1"/>
  <c r="AC6" i="1"/>
  <c r="V4" i="1"/>
  <c r="F138" i="1"/>
  <c r="F136" i="1"/>
  <c r="F137" i="1"/>
  <c r="E140" i="1"/>
  <c r="F135" i="1"/>
  <c r="F44" i="1"/>
  <c r="G220" i="1" l="1"/>
  <c r="H21" i="1"/>
  <c r="H48" i="1"/>
  <c r="H50" i="1" s="1"/>
  <c r="H80" i="1"/>
  <c r="G120" i="1"/>
  <c r="G122" i="1"/>
  <c r="H218" i="1"/>
  <c r="I177" i="1"/>
  <c r="I165" i="1"/>
  <c r="I205" i="1"/>
  <c r="I170" i="1"/>
  <c r="I171" i="1"/>
  <c r="I159" i="1"/>
  <c r="I158" i="1"/>
  <c r="I167" i="1"/>
  <c r="I172" i="1"/>
  <c r="I168" i="1"/>
  <c r="I162" i="1"/>
  <c r="I206" i="1"/>
  <c r="I199" i="1"/>
  <c r="I166" i="1"/>
  <c r="I174" i="1"/>
  <c r="I175" i="1"/>
  <c r="I204" i="1"/>
  <c r="I163" i="1"/>
  <c r="I203" i="1"/>
  <c r="I197" i="1"/>
  <c r="I169" i="1"/>
  <c r="I164" i="1"/>
  <c r="I160" i="1"/>
  <c r="I200" i="1"/>
  <c r="I178" i="1"/>
  <c r="I161" i="1"/>
  <c r="I201" i="1"/>
  <c r="I202" i="1"/>
  <c r="I173" i="1"/>
  <c r="I198" i="1"/>
  <c r="I176" i="1"/>
  <c r="I217" i="1"/>
  <c r="G121" i="1"/>
  <c r="H33" i="1"/>
  <c r="F56" i="1"/>
  <c r="F152" i="1" s="1"/>
  <c r="H179" i="1"/>
  <c r="H31" i="1"/>
  <c r="C12" i="1"/>
  <c r="I194" i="1"/>
  <c r="I193" i="1"/>
  <c r="H195" i="1"/>
  <c r="G26" i="1"/>
  <c r="G127" i="1"/>
  <c r="G128" i="1"/>
  <c r="G123" i="1"/>
  <c r="H30" i="1"/>
  <c r="H81" i="1"/>
  <c r="H71" i="1"/>
  <c r="G129" i="1"/>
  <c r="I39" i="1"/>
  <c r="J39" i="1" s="1"/>
  <c r="H72" i="1"/>
  <c r="H74" i="1"/>
  <c r="H52" i="1"/>
  <c r="H148" i="1" s="1"/>
  <c r="G126" i="1"/>
  <c r="H32" i="1"/>
  <c r="I47" i="1"/>
  <c r="I143" i="1" s="1"/>
  <c r="H24" i="1"/>
  <c r="C13" i="1"/>
  <c r="J5" i="1"/>
  <c r="H82" i="1"/>
  <c r="I6" i="1"/>
  <c r="H73" i="1"/>
  <c r="H139" i="1"/>
  <c r="H75" i="1"/>
  <c r="I90" i="1"/>
  <c r="G130" i="1"/>
  <c r="H25" i="1"/>
  <c r="G119" i="1"/>
  <c r="H15" i="1"/>
  <c r="G148" i="1"/>
  <c r="I49" i="1"/>
  <c r="I145" i="1" s="1"/>
  <c r="I53" i="1"/>
  <c r="I149" i="1" s="1"/>
  <c r="I42" i="1"/>
  <c r="G35" i="1"/>
  <c r="H79" i="1"/>
  <c r="I43" i="1"/>
  <c r="H34" i="1"/>
  <c r="H78" i="1"/>
  <c r="H92" i="1"/>
  <c r="I3" i="1"/>
  <c r="I10" i="1"/>
  <c r="I88" i="1"/>
  <c r="I91" i="1"/>
  <c r="I19" i="1"/>
  <c r="I87" i="1"/>
  <c r="I89" i="1"/>
  <c r="I29" i="1"/>
  <c r="H23" i="1"/>
  <c r="G144" i="1"/>
  <c r="I11" i="1"/>
  <c r="H22" i="1"/>
  <c r="I41" i="1"/>
  <c r="I28" i="1"/>
  <c r="I20" i="1"/>
  <c r="I40" i="1"/>
  <c r="C64" i="1"/>
  <c r="G150" i="1"/>
  <c r="G56" i="1"/>
  <c r="G152" i="1" s="1"/>
  <c r="E66" i="1"/>
  <c r="E114" i="1" s="1"/>
  <c r="H67" i="1"/>
  <c r="C67" i="1"/>
  <c r="H66" i="1"/>
  <c r="C16" i="1"/>
  <c r="H68" i="1"/>
  <c r="C68" i="1"/>
  <c r="H13" i="1"/>
  <c r="F12" i="1"/>
  <c r="F66" i="1"/>
  <c r="H16" i="1"/>
  <c r="H65" i="1"/>
  <c r="F64" i="1"/>
  <c r="H64" i="1"/>
  <c r="H14" i="1"/>
  <c r="F16" i="1"/>
  <c r="H12" i="1"/>
  <c r="C65" i="1"/>
  <c r="C14" i="1"/>
  <c r="C114" i="1" s="1"/>
  <c r="F68" i="1"/>
  <c r="F14" i="1"/>
  <c r="F13" i="1"/>
  <c r="C15" i="1"/>
  <c r="F67" i="1"/>
  <c r="D116" i="1"/>
  <c r="E12" i="1"/>
  <c r="E64" i="1"/>
  <c r="E13" i="1"/>
  <c r="E68" i="1"/>
  <c r="E16" i="1"/>
  <c r="E65" i="1"/>
  <c r="E67" i="1"/>
  <c r="E15" i="1"/>
  <c r="F15" i="1"/>
  <c r="D113" i="1"/>
  <c r="D114" i="1"/>
  <c r="D115" i="1"/>
  <c r="G12" i="1"/>
  <c r="G13" i="1"/>
  <c r="G14" i="1"/>
  <c r="G65" i="1"/>
  <c r="G66" i="1"/>
  <c r="G64" i="1"/>
  <c r="G16" i="1"/>
  <c r="G67" i="1"/>
  <c r="G15" i="1"/>
  <c r="G68" i="1"/>
  <c r="D17" i="1"/>
  <c r="D37" i="1" s="1"/>
  <c r="D58" i="1" s="1"/>
  <c r="D112" i="1"/>
  <c r="W4" i="1"/>
  <c r="G136" i="1"/>
  <c r="G138" i="1"/>
  <c r="G137" i="1"/>
  <c r="F140" i="1"/>
  <c r="G135" i="1"/>
  <c r="G44" i="1"/>
  <c r="C113" i="1" l="1"/>
  <c r="H220" i="1"/>
  <c r="H119" i="1"/>
  <c r="H144" i="1"/>
  <c r="I33" i="1"/>
  <c r="I218" i="1"/>
  <c r="J28" i="1"/>
  <c r="J177" i="1"/>
  <c r="J168" i="1"/>
  <c r="J165" i="1"/>
  <c r="J159" i="1"/>
  <c r="J160" i="1"/>
  <c r="J205" i="1"/>
  <c r="J167" i="1"/>
  <c r="J158" i="1"/>
  <c r="J217" i="1"/>
  <c r="J166" i="1"/>
  <c r="J176" i="1"/>
  <c r="J178" i="1"/>
  <c r="J203" i="1"/>
  <c r="J171" i="1"/>
  <c r="J163" i="1"/>
  <c r="J204" i="1"/>
  <c r="J198" i="1"/>
  <c r="J199" i="1"/>
  <c r="J173" i="1"/>
  <c r="J161" i="1"/>
  <c r="J172" i="1"/>
  <c r="J197" i="1"/>
  <c r="J174" i="1"/>
  <c r="J175" i="1"/>
  <c r="J169" i="1"/>
  <c r="J170" i="1"/>
  <c r="J206" i="1"/>
  <c r="J200" i="1"/>
  <c r="J162" i="1"/>
  <c r="J202" i="1"/>
  <c r="J164" i="1"/>
  <c r="J201" i="1"/>
  <c r="H129" i="1"/>
  <c r="C112" i="1"/>
  <c r="I24" i="1"/>
  <c r="H130" i="1"/>
  <c r="H122" i="1"/>
  <c r="J193" i="1"/>
  <c r="J194" i="1"/>
  <c r="J20" i="1"/>
  <c r="I73" i="1"/>
  <c r="I179" i="1"/>
  <c r="H127" i="1"/>
  <c r="J89" i="1"/>
  <c r="J42" i="1"/>
  <c r="J87" i="1"/>
  <c r="I195" i="1"/>
  <c r="H115" i="1"/>
  <c r="H123" i="1"/>
  <c r="H35" i="1"/>
  <c r="H126" i="1"/>
  <c r="J43" i="1"/>
  <c r="H128" i="1"/>
  <c r="J19" i="1"/>
  <c r="J74" i="1" s="1"/>
  <c r="H54" i="1"/>
  <c r="H150" i="1" s="1"/>
  <c r="J29" i="1"/>
  <c r="J33" i="1" s="1"/>
  <c r="I30" i="1"/>
  <c r="J11" i="1"/>
  <c r="J40" i="1"/>
  <c r="J91" i="1"/>
  <c r="J88" i="1"/>
  <c r="I32" i="1"/>
  <c r="J41" i="1"/>
  <c r="H26" i="1"/>
  <c r="J3" i="1"/>
  <c r="J47" i="1"/>
  <c r="J143" i="1" s="1"/>
  <c r="I48" i="1"/>
  <c r="I50" i="1" s="1"/>
  <c r="I146" i="1" s="1"/>
  <c r="J90" i="1"/>
  <c r="J53" i="1"/>
  <c r="J52" i="1" s="1"/>
  <c r="I52" i="1"/>
  <c r="I148" i="1" s="1"/>
  <c r="H121" i="1"/>
  <c r="I74" i="1"/>
  <c r="J6" i="1"/>
  <c r="J49" i="1"/>
  <c r="J145" i="1" s="1"/>
  <c r="J10" i="1"/>
  <c r="K5" i="1"/>
  <c r="I72" i="1"/>
  <c r="I21" i="1"/>
  <c r="I82" i="1"/>
  <c r="I79" i="1"/>
  <c r="I80" i="1"/>
  <c r="I25" i="1"/>
  <c r="I78" i="1"/>
  <c r="I22" i="1"/>
  <c r="I81" i="1"/>
  <c r="I92" i="1"/>
  <c r="I65" i="1"/>
  <c r="H120" i="1"/>
  <c r="I71" i="1"/>
  <c r="I75" i="1"/>
  <c r="I139" i="1"/>
  <c r="I34" i="1"/>
  <c r="I12" i="1"/>
  <c r="I67" i="1"/>
  <c r="I16" i="1"/>
  <c r="I64" i="1"/>
  <c r="I31" i="1"/>
  <c r="I14" i="1"/>
  <c r="I68" i="1"/>
  <c r="I15" i="1"/>
  <c r="I66" i="1"/>
  <c r="I13" i="1"/>
  <c r="I23" i="1"/>
  <c r="C116" i="1"/>
  <c r="C115" i="1"/>
  <c r="H116" i="1"/>
  <c r="H146" i="1"/>
  <c r="H114" i="1"/>
  <c r="F114" i="1"/>
  <c r="F112" i="1"/>
  <c r="H113" i="1"/>
  <c r="F116" i="1"/>
  <c r="E116" i="1"/>
  <c r="C17" i="1"/>
  <c r="C37" i="1" s="1"/>
  <c r="C58" i="1" s="1"/>
  <c r="H112" i="1"/>
  <c r="H17" i="1"/>
  <c r="F17" i="1"/>
  <c r="F37" i="1" s="1"/>
  <c r="F58" i="1" s="1"/>
  <c r="F113" i="1"/>
  <c r="E115" i="1"/>
  <c r="E113" i="1"/>
  <c r="F115" i="1"/>
  <c r="E112" i="1"/>
  <c r="E17" i="1"/>
  <c r="E37" i="1" s="1"/>
  <c r="E58" i="1" s="1"/>
  <c r="G115" i="1"/>
  <c r="G116" i="1"/>
  <c r="G114" i="1"/>
  <c r="G113" i="1"/>
  <c r="G112" i="1"/>
  <c r="G17" i="1"/>
  <c r="G37" i="1" s="1"/>
  <c r="G58" i="1" s="1"/>
  <c r="X4" i="1"/>
  <c r="H138" i="1"/>
  <c r="H136" i="1"/>
  <c r="H137" i="1"/>
  <c r="H135" i="1"/>
  <c r="G140" i="1"/>
  <c r="H44" i="1"/>
  <c r="I129" i="1" l="1"/>
  <c r="I220" i="1"/>
  <c r="K89" i="1"/>
  <c r="J218" i="1"/>
  <c r="K47" i="1"/>
  <c r="K143" i="1" s="1"/>
  <c r="K205" i="1"/>
  <c r="K173" i="1"/>
  <c r="K163" i="1"/>
  <c r="K172" i="1"/>
  <c r="K171" i="1"/>
  <c r="K167" i="1"/>
  <c r="K162" i="1"/>
  <c r="K161" i="1"/>
  <c r="K198" i="1"/>
  <c r="K168" i="1"/>
  <c r="K164" i="1"/>
  <c r="K217" i="1"/>
  <c r="K170" i="1"/>
  <c r="K199" i="1"/>
  <c r="K174" i="1"/>
  <c r="K202" i="1"/>
  <c r="K169" i="1"/>
  <c r="K204" i="1"/>
  <c r="K165" i="1"/>
  <c r="K203" i="1"/>
  <c r="K175" i="1"/>
  <c r="K166" i="1"/>
  <c r="K160" i="1"/>
  <c r="K197" i="1"/>
  <c r="K159" i="1"/>
  <c r="K176" i="1"/>
  <c r="K200" i="1"/>
  <c r="K206" i="1"/>
  <c r="K177" i="1"/>
  <c r="K201" i="1"/>
  <c r="K158" i="1"/>
  <c r="K178" i="1"/>
  <c r="K10" i="1"/>
  <c r="L5" i="1"/>
  <c r="L47" i="1" s="1"/>
  <c r="L143" i="1" s="1"/>
  <c r="K11" i="1"/>
  <c r="J79" i="1"/>
  <c r="J81" i="1"/>
  <c r="J129" i="1" s="1"/>
  <c r="I115" i="1"/>
  <c r="J66" i="1"/>
  <c r="I122" i="1"/>
  <c r="I126" i="1"/>
  <c r="I130" i="1"/>
  <c r="J23" i="1"/>
  <c r="J22" i="1"/>
  <c r="K49" i="1"/>
  <c r="K48" i="1" s="1"/>
  <c r="I119" i="1"/>
  <c r="I54" i="1"/>
  <c r="I150" i="1" s="1"/>
  <c r="J80" i="1"/>
  <c r="J179" i="1"/>
  <c r="J78" i="1"/>
  <c r="J25" i="1"/>
  <c r="J34" i="1"/>
  <c r="J82" i="1"/>
  <c r="J32" i="1"/>
  <c r="I144" i="1"/>
  <c r="K42" i="1"/>
  <c r="K194" i="1"/>
  <c r="K193" i="1"/>
  <c r="J195" i="1"/>
  <c r="J31" i="1"/>
  <c r="J127" i="1" s="1"/>
  <c r="J65" i="1"/>
  <c r="J30" i="1"/>
  <c r="I121" i="1"/>
  <c r="J75" i="1"/>
  <c r="J71" i="1"/>
  <c r="J92" i="1"/>
  <c r="K3" i="1"/>
  <c r="J73" i="1"/>
  <c r="H56" i="1"/>
  <c r="H152" i="1" s="1"/>
  <c r="K91" i="1"/>
  <c r="I116" i="1"/>
  <c r="J48" i="1"/>
  <c r="J50" i="1" s="1"/>
  <c r="J146" i="1" s="1"/>
  <c r="J13" i="1"/>
  <c r="J15" i="1"/>
  <c r="J12" i="1"/>
  <c r="I128" i="1"/>
  <c r="J24" i="1"/>
  <c r="J122" i="1" s="1"/>
  <c r="J72" i="1"/>
  <c r="J14" i="1"/>
  <c r="J139" i="1"/>
  <c r="I123" i="1"/>
  <c r="J21" i="1"/>
  <c r="J149" i="1"/>
  <c r="J67" i="1"/>
  <c r="I26" i="1"/>
  <c r="J64" i="1"/>
  <c r="K90" i="1"/>
  <c r="K43" i="1"/>
  <c r="K88" i="1"/>
  <c r="J68" i="1"/>
  <c r="K39" i="1"/>
  <c r="J16" i="1"/>
  <c r="H37" i="1"/>
  <c r="H58" i="1" s="1"/>
  <c r="K6" i="1"/>
  <c r="K53" i="1"/>
  <c r="K149" i="1" s="1"/>
  <c r="K28" i="1"/>
  <c r="I35" i="1"/>
  <c r="K19" i="1"/>
  <c r="K87" i="1"/>
  <c r="I112" i="1"/>
  <c r="I120" i="1"/>
  <c r="K20" i="1"/>
  <c r="K75" i="1" s="1"/>
  <c r="K41" i="1"/>
  <c r="K40" i="1"/>
  <c r="K29" i="1"/>
  <c r="I127" i="1"/>
  <c r="I17" i="1"/>
  <c r="I114" i="1"/>
  <c r="I113" i="1"/>
  <c r="J54" i="1"/>
  <c r="J148" i="1"/>
  <c r="Y4" i="1"/>
  <c r="I136" i="1"/>
  <c r="I138" i="1"/>
  <c r="I137" i="1"/>
  <c r="I135" i="1"/>
  <c r="H140" i="1"/>
  <c r="I44" i="1"/>
  <c r="J114" i="1" l="1"/>
  <c r="J220" i="1"/>
  <c r="J113" i="1"/>
  <c r="K68" i="1"/>
  <c r="L6" i="1"/>
  <c r="K16" i="1"/>
  <c r="J120" i="1"/>
  <c r="L39" i="1"/>
  <c r="K145" i="1"/>
  <c r="K71" i="1"/>
  <c r="L41" i="1"/>
  <c r="K14" i="1"/>
  <c r="K15" i="1"/>
  <c r="L165" i="1"/>
  <c r="L199" i="1"/>
  <c r="L174" i="1"/>
  <c r="L205" i="1"/>
  <c r="L168" i="1"/>
  <c r="L200" i="1"/>
  <c r="L202" i="1"/>
  <c r="L178" i="1"/>
  <c r="L158" i="1"/>
  <c r="L197" i="1"/>
  <c r="L175" i="1"/>
  <c r="L166" i="1"/>
  <c r="L160" i="1"/>
  <c r="L201" i="1"/>
  <c r="L159" i="1"/>
  <c r="L169" i="1"/>
  <c r="L171" i="1"/>
  <c r="L177" i="1"/>
  <c r="L162" i="1"/>
  <c r="L161" i="1"/>
  <c r="L217" i="1"/>
  <c r="L170" i="1"/>
  <c r="L198" i="1"/>
  <c r="L176" i="1"/>
  <c r="L203" i="1"/>
  <c r="L173" i="1"/>
  <c r="L163" i="1"/>
  <c r="L204" i="1"/>
  <c r="L164" i="1"/>
  <c r="L206" i="1"/>
  <c r="L172" i="1"/>
  <c r="L167" i="1"/>
  <c r="L3" i="1"/>
  <c r="AD6" i="1" s="1"/>
  <c r="L88" i="1"/>
  <c r="L42" i="1"/>
  <c r="L10" i="1"/>
  <c r="L53" i="1"/>
  <c r="L149" i="1" s="1"/>
  <c r="L193" i="1"/>
  <c r="M5" i="1"/>
  <c r="M194" i="1" s="1"/>
  <c r="L87" i="1"/>
  <c r="L90" i="1"/>
  <c r="L194" i="1"/>
  <c r="K13" i="1"/>
  <c r="L49" i="1"/>
  <c r="L48" i="1" s="1"/>
  <c r="L28" i="1"/>
  <c r="L34" i="1" s="1"/>
  <c r="L89" i="1"/>
  <c r="L19" i="1"/>
  <c r="K64" i="1"/>
  <c r="L20" i="1"/>
  <c r="K66" i="1"/>
  <c r="J123" i="1"/>
  <c r="L11" i="1"/>
  <c r="K65" i="1"/>
  <c r="L29" i="1"/>
  <c r="L91" i="1"/>
  <c r="K12" i="1"/>
  <c r="K67" i="1"/>
  <c r="L40" i="1"/>
  <c r="K218" i="1"/>
  <c r="I56" i="1"/>
  <c r="I152" i="1" s="1"/>
  <c r="J116" i="1"/>
  <c r="J121" i="1"/>
  <c r="J128" i="1"/>
  <c r="K139" i="1"/>
  <c r="J17" i="1"/>
  <c r="J130" i="1"/>
  <c r="K74" i="1"/>
  <c r="J115" i="1"/>
  <c r="J35" i="1"/>
  <c r="L43" i="1"/>
  <c r="K25" i="1"/>
  <c r="K123" i="1" s="1"/>
  <c r="J119" i="1"/>
  <c r="J112" i="1"/>
  <c r="J126" i="1"/>
  <c r="K23" i="1"/>
  <c r="K22" i="1"/>
  <c r="J144" i="1"/>
  <c r="K179" i="1"/>
  <c r="K80" i="1"/>
  <c r="K195" i="1"/>
  <c r="K24" i="1"/>
  <c r="I37" i="1"/>
  <c r="K52" i="1"/>
  <c r="K148" i="1" s="1"/>
  <c r="J26" i="1"/>
  <c r="K32" i="1"/>
  <c r="K92" i="1"/>
  <c r="K72" i="1"/>
  <c r="K21" i="1"/>
  <c r="K82" i="1"/>
  <c r="K78" i="1"/>
  <c r="K73" i="1"/>
  <c r="K31" i="1"/>
  <c r="K30" i="1"/>
  <c r="K79" i="1"/>
  <c r="K34" i="1"/>
  <c r="K81" i="1"/>
  <c r="K33" i="1"/>
  <c r="J150" i="1"/>
  <c r="J56" i="1"/>
  <c r="J152" i="1" s="1"/>
  <c r="K50" i="1"/>
  <c r="K146" i="1" s="1"/>
  <c r="K144" i="1"/>
  <c r="Z4" i="1"/>
  <c r="J138" i="1"/>
  <c r="J136" i="1"/>
  <c r="J137" i="1"/>
  <c r="I140" i="1"/>
  <c r="J135" i="1"/>
  <c r="J44" i="1"/>
  <c r="K220" i="1" l="1"/>
  <c r="L195" i="1"/>
  <c r="M10" i="1"/>
  <c r="M68" i="1" s="1"/>
  <c r="L30" i="1"/>
  <c r="L32" i="1"/>
  <c r="L67" i="1"/>
  <c r="K113" i="1"/>
  <c r="K116" i="1"/>
  <c r="K17" i="1"/>
  <c r="K114" i="1"/>
  <c r="L64" i="1"/>
  <c r="L52" i="1"/>
  <c r="L54" i="1" s="1"/>
  <c r="I58" i="1"/>
  <c r="M43" i="1"/>
  <c r="K119" i="1"/>
  <c r="M28" i="1"/>
  <c r="M32" i="1" s="1"/>
  <c r="L65" i="1"/>
  <c r="L23" i="1"/>
  <c r="M42" i="1"/>
  <c r="L66" i="1"/>
  <c r="M88" i="1"/>
  <c r="L25" i="1"/>
  <c r="M47" i="1"/>
  <c r="M143" i="1" s="1"/>
  <c r="L179" i="1"/>
  <c r="L12" i="1"/>
  <c r="K112" i="1"/>
  <c r="L16" i="1"/>
  <c r="M53" i="1"/>
  <c r="M149" i="1" s="1"/>
  <c r="M91" i="1"/>
  <c r="M6" i="1"/>
  <c r="L15" i="1"/>
  <c r="L115" i="1" s="1"/>
  <c r="M39" i="1"/>
  <c r="M90" i="1"/>
  <c r="M19" i="1"/>
  <c r="M29" i="1"/>
  <c r="M20" i="1"/>
  <c r="M22" i="1" s="1"/>
  <c r="M40" i="1"/>
  <c r="M11" i="1"/>
  <c r="M66" i="1" s="1"/>
  <c r="K115" i="1"/>
  <c r="L68" i="1"/>
  <c r="L79" i="1"/>
  <c r="M49" i="1"/>
  <c r="M145" i="1" s="1"/>
  <c r="M3" i="1"/>
  <c r="L13" i="1"/>
  <c r="M41" i="1"/>
  <c r="N41" i="1" s="1"/>
  <c r="M87" i="1"/>
  <c r="M193" i="1"/>
  <c r="M195" i="1" s="1"/>
  <c r="N5" i="1"/>
  <c r="N173" i="1" s="1"/>
  <c r="L33" i="1"/>
  <c r="M89" i="1"/>
  <c r="L218" i="1"/>
  <c r="L21" i="1"/>
  <c r="L82" i="1"/>
  <c r="L130" i="1" s="1"/>
  <c r="L75" i="1"/>
  <c r="L73" i="1"/>
  <c r="L145" i="1"/>
  <c r="L14" i="1"/>
  <c r="L71" i="1"/>
  <c r="M175" i="1"/>
  <c r="M166" i="1"/>
  <c r="M160" i="1"/>
  <c r="M171" i="1"/>
  <c r="M202" i="1"/>
  <c r="M169" i="1"/>
  <c r="M176" i="1"/>
  <c r="M178" i="1"/>
  <c r="M162" i="1"/>
  <c r="M161" i="1"/>
  <c r="M217" i="1"/>
  <c r="M170" i="1"/>
  <c r="M165" i="1"/>
  <c r="M158" i="1"/>
  <c r="M172" i="1"/>
  <c r="M197" i="1"/>
  <c r="M203" i="1"/>
  <c r="M159" i="1"/>
  <c r="M198" i="1"/>
  <c r="M167" i="1"/>
  <c r="M173" i="1"/>
  <c r="M163" i="1"/>
  <c r="M164" i="1"/>
  <c r="M206" i="1"/>
  <c r="M168" i="1"/>
  <c r="M201" i="1"/>
  <c r="M177" i="1"/>
  <c r="M205" i="1"/>
  <c r="M174" i="1"/>
  <c r="M204" i="1"/>
  <c r="M200" i="1"/>
  <c r="M199" i="1"/>
  <c r="L24" i="1"/>
  <c r="L81" i="1"/>
  <c r="L80" i="1"/>
  <c r="L72" i="1"/>
  <c r="L92" i="1"/>
  <c r="L74" i="1"/>
  <c r="L78" i="1"/>
  <c r="L31" i="1"/>
  <c r="K121" i="1"/>
  <c r="L22" i="1"/>
  <c r="N201" i="1"/>
  <c r="K126" i="1"/>
  <c r="K122" i="1"/>
  <c r="K120" i="1"/>
  <c r="J37" i="1"/>
  <c r="J58" i="1" s="1"/>
  <c r="K129" i="1"/>
  <c r="K128" i="1"/>
  <c r="L139" i="1"/>
  <c r="K130" i="1"/>
  <c r="K54" i="1"/>
  <c r="K150" i="1" s="1"/>
  <c r="K26" i="1"/>
  <c r="K127" i="1"/>
  <c r="K35" i="1"/>
  <c r="L144" i="1"/>
  <c r="L50" i="1"/>
  <c r="L146" i="1" s="1"/>
  <c r="M25" i="1"/>
  <c r="M16" i="1"/>
  <c r="M15" i="1"/>
  <c r="M13" i="1"/>
  <c r="M12" i="1"/>
  <c r="K136" i="1"/>
  <c r="K138" i="1"/>
  <c r="K137" i="1"/>
  <c r="K135" i="1"/>
  <c r="J140" i="1"/>
  <c r="K44" i="1"/>
  <c r="L148" i="1" l="1"/>
  <c r="L121" i="1"/>
  <c r="M92" i="1"/>
  <c r="L116" i="1"/>
  <c r="M139" i="1"/>
  <c r="L220" i="1"/>
  <c r="AE201" i="1"/>
  <c r="L126" i="1"/>
  <c r="M65" i="1"/>
  <c r="M113" i="1" s="1"/>
  <c r="N3" i="1"/>
  <c r="M64" i="1"/>
  <c r="M112" i="1" s="1"/>
  <c r="N197" i="1"/>
  <c r="AE197" i="1" s="1"/>
  <c r="L113" i="1"/>
  <c r="M73" i="1"/>
  <c r="M52" i="1"/>
  <c r="M148" i="1" s="1"/>
  <c r="M14" i="1"/>
  <c r="M17" i="1" s="1"/>
  <c r="M80" i="1"/>
  <c r="M128" i="1" s="1"/>
  <c r="M67" i="1"/>
  <c r="M115" i="1" s="1"/>
  <c r="L128" i="1"/>
  <c r="N6" i="1"/>
  <c r="N166" i="1"/>
  <c r="AA166" i="1" s="1"/>
  <c r="N174" i="1"/>
  <c r="AE174" i="1" s="1"/>
  <c r="L123" i="1"/>
  <c r="N91" i="1"/>
  <c r="AE91" i="1" s="1"/>
  <c r="L17" i="1"/>
  <c r="AD169" i="1"/>
  <c r="AE173" i="1"/>
  <c r="M21" i="1"/>
  <c r="L119" i="1"/>
  <c r="L120" i="1"/>
  <c r="L114" i="1"/>
  <c r="N177" i="1"/>
  <c r="AA177" i="1" s="1"/>
  <c r="M31" i="1"/>
  <c r="N165" i="1"/>
  <c r="AA165" i="1" s="1"/>
  <c r="M24" i="1"/>
  <c r="N29" i="1"/>
  <c r="L129" i="1"/>
  <c r="N20" i="1"/>
  <c r="N178" i="1"/>
  <c r="AE178" i="1" s="1"/>
  <c r="M79" i="1"/>
  <c r="M179" i="1"/>
  <c r="AD209" i="1"/>
  <c r="N205" i="1"/>
  <c r="AE205" i="1" s="1"/>
  <c r="N28" i="1"/>
  <c r="N43" i="1"/>
  <c r="AA43" i="1" s="1"/>
  <c r="N206" i="1"/>
  <c r="AE206" i="1" s="1"/>
  <c r="M34" i="1"/>
  <c r="N90" i="1"/>
  <c r="N171" i="1"/>
  <c r="AE171" i="1" s="1"/>
  <c r="N217" i="1"/>
  <c r="AE217" i="1" s="1"/>
  <c r="M74" i="1"/>
  <c r="N47" i="1"/>
  <c r="AJ47" i="1" s="1"/>
  <c r="AJ143" i="1" s="1"/>
  <c r="N203" i="1"/>
  <c r="AE203" i="1" s="1"/>
  <c r="N172" i="1"/>
  <c r="AA172" i="1" s="1"/>
  <c r="N11" i="1"/>
  <c r="M81" i="1"/>
  <c r="N89" i="1"/>
  <c r="AE89" i="1" s="1"/>
  <c r="N158" i="1"/>
  <c r="AE158" i="1" s="1"/>
  <c r="N167" i="1"/>
  <c r="AE167" i="1" s="1"/>
  <c r="L112" i="1"/>
  <c r="M72" i="1"/>
  <c r="M120" i="1" s="1"/>
  <c r="N40" i="1"/>
  <c r="N168" i="1"/>
  <c r="AA168" i="1" s="1"/>
  <c r="N176" i="1"/>
  <c r="AE176" i="1" s="1"/>
  <c r="N162" i="1"/>
  <c r="AE162" i="1" s="1"/>
  <c r="M82" i="1"/>
  <c r="M71" i="1"/>
  <c r="M48" i="1"/>
  <c r="M50" i="1" s="1"/>
  <c r="M146" i="1" s="1"/>
  <c r="N42" i="1"/>
  <c r="N160" i="1"/>
  <c r="AA160" i="1" s="1"/>
  <c r="N159" i="1"/>
  <c r="AE159" i="1" s="1"/>
  <c r="AD210" i="1"/>
  <c r="N164" i="1"/>
  <c r="AE164" i="1" s="1"/>
  <c r="O5" i="1"/>
  <c r="O167" i="1" s="1"/>
  <c r="M23" i="1"/>
  <c r="N88" i="1"/>
  <c r="AA88" i="1" s="1"/>
  <c r="N87" i="1"/>
  <c r="N204" i="1"/>
  <c r="AE204" i="1" s="1"/>
  <c r="N169" i="1"/>
  <c r="AE169" i="1" s="1"/>
  <c r="N19" i="1"/>
  <c r="N163" i="1"/>
  <c r="AE163" i="1" s="1"/>
  <c r="M30" i="1"/>
  <c r="N200" i="1"/>
  <c r="AE200" i="1" s="1"/>
  <c r="M33" i="1"/>
  <c r="M75" i="1"/>
  <c r="M123" i="1" s="1"/>
  <c r="N49" i="1"/>
  <c r="N145" i="1" s="1"/>
  <c r="N199" i="1"/>
  <c r="AE199" i="1" s="1"/>
  <c r="N170" i="1"/>
  <c r="AA170" i="1" s="1"/>
  <c r="L122" i="1"/>
  <c r="M78" i="1"/>
  <c r="N53" i="1"/>
  <c r="N52" i="1" s="1"/>
  <c r="N194" i="1"/>
  <c r="AE194" i="1" s="1"/>
  <c r="N161" i="1"/>
  <c r="AE161" i="1" s="1"/>
  <c r="N39" i="1"/>
  <c r="N175" i="1"/>
  <c r="AE175" i="1" s="1"/>
  <c r="N198" i="1"/>
  <c r="AA198" i="1" s="1"/>
  <c r="N10" i="1"/>
  <c r="N66" i="1" s="1"/>
  <c r="N193" i="1"/>
  <c r="AE193" i="1" s="1"/>
  <c r="N202" i="1"/>
  <c r="AE202" i="1" s="1"/>
  <c r="L35" i="1"/>
  <c r="M218" i="1"/>
  <c r="L127" i="1"/>
  <c r="O205" i="1"/>
  <c r="O174" i="1"/>
  <c r="L26" i="1"/>
  <c r="K56" i="1"/>
  <c r="K152" i="1" s="1"/>
  <c r="AB160" i="1"/>
  <c r="K37" i="1"/>
  <c r="AC217" i="1"/>
  <c r="AD177" i="1"/>
  <c r="AC206" i="1"/>
  <c r="AC165" i="1"/>
  <c r="AC162" i="1"/>
  <c r="AC203" i="1"/>
  <c r="AB161" i="1"/>
  <c r="AD207" i="1"/>
  <c r="AD211" i="1"/>
  <c r="AB163" i="1"/>
  <c r="AD208" i="1"/>
  <c r="AB203" i="1"/>
  <c r="AD161" i="1"/>
  <c r="AB166" i="1"/>
  <c r="AB168" i="1"/>
  <c r="AA215" i="1"/>
  <c r="AB214" i="1"/>
  <c r="AC172" i="1"/>
  <c r="AB170" i="1"/>
  <c r="AA208" i="1"/>
  <c r="AB167" i="1"/>
  <c r="AB204" i="1"/>
  <c r="AA216" i="1"/>
  <c r="AB210" i="1"/>
  <c r="AA209" i="1"/>
  <c r="AB164" i="1"/>
  <c r="AA213" i="1"/>
  <c r="AB162" i="1"/>
  <c r="AB205" i="1"/>
  <c r="AC175" i="1"/>
  <c r="AB176" i="1"/>
  <c r="AC167" i="1"/>
  <c r="AA174" i="1"/>
  <c r="AB158" i="1"/>
  <c r="AD201" i="1"/>
  <c r="AB194" i="1"/>
  <c r="AA217" i="1"/>
  <c r="AD178" i="1"/>
  <c r="AC204" i="1"/>
  <c r="AB177" i="1"/>
  <c r="AB193" i="1"/>
  <c r="AA201" i="1"/>
  <c r="AB178" i="1"/>
  <c r="AB201" i="1"/>
  <c r="AB213" i="1"/>
  <c r="AB171" i="1"/>
  <c r="AA211" i="1"/>
  <c r="AC214" i="1"/>
  <c r="AB159" i="1"/>
  <c r="AD172" i="1"/>
  <c r="AA205" i="1"/>
  <c r="AB208" i="1"/>
  <c r="AB169" i="1"/>
  <c r="AD173" i="1"/>
  <c r="AB211" i="1"/>
  <c r="AC205" i="1"/>
  <c r="AC164" i="1"/>
  <c r="AA173" i="1"/>
  <c r="AB198" i="1"/>
  <c r="AB174" i="1"/>
  <c r="AA207" i="1"/>
  <c r="AA212" i="1"/>
  <c r="AC177" i="1"/>
  <c r="AB199" i="1"/>
  <c r="AB209" i="1"/>
  <c r="AD205" i="1"/>
  <c r="AC174" i="1"/>
  <c r="AB212" i="1"/>
  <c r="AC199" i="1"/>
  <c r="AB173" i="1"/>
  <c r="AC171" i="1"/>
  <c r="AD176" i="1"/>
  <c r="AD162" i="1"/>
  <c r="AD171" i="1"/>
  <c r="AC161" i="1"/>
  <c r="AD206" i="1"/>
  <c r="AC168" i="1"/>
  <c r="AC207" i="1"/>
  <c r="AC173" i="1"/>
  <c r="AA214" i="1"/>
  <c r="AD158" i="1"/>
  <c r="AC163" i="1"/>
  <c r="AD159" i="1"/>
  <c r="AD167" i="1"/>
  <c r="AB202" i="1"/>
  <c r="AB175" i="1"/>
  <c r="AC160" i="1"/>
  <c r="AC209" i="1"/>
  <c r="AC194" i="1"/>
  <c r="AD202" i="1"/>
  <c r="AD166" i="1"/>
  <c r="AC193" i="1"/>
  <c r="AB197" i="1"/>
  <c r="AB172" i="1"/>
  <c r="AD164" i="1"/>
  <c r="AC215" i="1"/>
  <c r="AB207" i="1"/>
  <c r="AB215" i="1"/>
  <c r="AD174" i="1"/>
  <c r="AC200" i="1"/>
  <c r="AC197" i="1"/>
  <c r="AD170" i="1"/>
  <c r="AA210" i="1"/>
  <c r="AD216" i="1"/>
  <c r="AB206" i="1"/>
  <c r="AD175" i="1"/>
  <c r="AD163" i="1"/>
  <c r="AC158" i="1"/>
  <c r="AD199" i="1"/>
  <c r="AC202" i="1"/>
  <c r="AD215" i="1"/>
  <c r="AB200" i="1"/>
  <c r="AD214" i="1"/>
  <c r="AC170" i="1"/>
  <c r="AD198" i="1"/>
  <c r="AD168" i="1"/>
  <c r="AB165" i="1"/>
  <c r="AD165" i="1"/>
  <c r="AD200" i="1"/>
  <c r="AD217" i="1"/>
  <c r="AC201" i="1"/>
  <c r="AC216" i="1"/>
  <c r="AD194" i="1"/>
  <c r="AC210" i="1"/>
  <c r="AC213" i="1"/>
  <c r="AD213" i="1"/>
  <c r="AC178" i="1"/>
  <c r="AC166" i="1"/>
  <c r="AC159" i="1"/>
  <c r="AB217" i="1"/>
  <c r="AC211" i="1"/>
  <c r="AC176" i="1"/>
  <c r="AD160" i="1"/>
  <c r="AC169" i="1"/>
  <c r="AD197" i="1"/>
  <c r="AD203" i="1"/>
  <c r="AB216" i="1"/>
  <c r="AC198" i="1"/>
  <c r="AD212" i="1"/>
  <c r="AD204" i="1"/>
  <c r="AC212" i="1"/>
  <c r="AC208" i="1"/>
  <c r="AD193" i="1"/>
  <c r="O53" i="1"/>
  <c r="N149" i="1"/>
  <c r="AJ53" i="1"/>
  <c r="AJ149" i="1" s="1"/>
  <c r="L150" i="1"/>
  <c r="L56" i="1"/>
  <c r="L152" i="1" s="1"/>
  <c r="O41" i="1"/>
  <c r="M116" i="1"/>
  <c r="AB91" i="1"/>
  <c r="AD91" i="1"/>
  <c r="N72" i="1"/>
  <c r="N73" i="1"/>
  <c r="N74" i="1"/>
  <c r="AC91" i="1"/>
  <c r="AA101" i="1"/>
  <c r="AB88" i="1"/>
  <c r="AC47" i="1"/>
  <c r="AB34" i="1"/>
  <c r="AB24" i="1"/>
  <c r="AC25" i="1"/>
  <c r="AC23" i="1"/>
  <c r="AD34" i="1"/>
  <c r="AD43" i="1"/>
  <c r="AC34" i="1"/>
  <c r="AC24" i="1"/>
  <c r="AB43" i="1"/>
  <c r="AC43" i="1"/>
  <c r="AB23" i="1"/>
  <c r="AB25" i="1"/>
  <c r="AB97" i="1"/>
  <c r="AC101" i="1"/>
  <c r="AD90" i="1"/>
  <c r="AB33" i="1"/>
  <c r="AD87" i="1"/>
  <c r="AC49" i="1"/>
  <c r="AD49" i="1"/>
  <c r="AB101" i="1"/>
  <c r="AB15" i="1"/>
  <c r="O20" i="1"/>
  <c r="AC32" i="1"/>
  <c r="AC15" i="1"/>
  <c r="AB52" i="1"/>
  <c r="AC21" i="1"/>
  <c r="AB16" i="1"/>
  <c r="AB21" i="1"/>
  <c r="AC14" i="1"/>
  <c r="AD95" i="1"/>
  <c r="AB22" i="1"/>
  <c r="AB95" i="1"/>
  <c r="AD100" i="1"/>
  <c r="AD102" i="1" s="1"/>
  <c r="AD31" i="1"/>
  <c r="AD53" i="1"/>
  <c r="AB39" i="1"/>
  <c r="AB40" i="1"/>
  <c r="AC40" i="1"/>
  <c r="AC87" i="1"/>
  <c r="AC30" i="1"/>
  <c r="AD101" i="1"/>
  <c r="AC42" i="1"/>
  <c r="AD47" i="1"/>
  <c r="AC95" i="1"/>
  <c r="AC48" i="1"/>
  <c r="AB47" i="1"/>
  <c r="AB100" i="1"/>
  <c r="AB102" i="1" s="1"/>
  <c r="AC90" i="1"/>
  <c r="AC22" i="1"/>
  <c r="AC31" i="1"/>
  <c r="AB42" i="1"/>
  <c r="AD48" i="1"/>
  <c r="AC39" i="1"/>
  <c r="AC53" i="1"/>
  <c r="AC52" i="1"/>
  <c r="AB32" i="1"/>
  <c r="AC12" i="1"/>
  <c r="AA53" i="1"/>
  <c r="AB31" i="1"/>
  <c r="AC100" i="1"/>
  <c r="AC102" i="1" s="1"/>
  <c r="AD88" i="1"/>
  <c r="AB49" i="1"/>
  <c r="AA95" i="1"/>
  <c r="AD96" i="1"/>
  <c r="AA97" i="1"/>
  <c r="AC16" i="1"/>
  <c r="AB87" i="1"/>
  <c r="AC96" i="1"/>
  <c r="AC33" i="1"/>
  <c r="AA96" i="1"/>
  <c r="AD89" i="1"/>
  <c r="AC41" i="1"/>
  <c r="AD30" i="1"/>
  <c r="AB48" i="1"/>
  <c r="AD52" i="1"/>
  <c r="AB12" i="1"/>
  <c r="AB14" i="1"/>
  <c r="AB96" i="1"/>
  <c r="AA100" i="1"/>
  <c r="AA102" i="1" s="1"/>
  <c r="AB13" i="1"/>
  <c r="AC88" i="1"/>
  <c r="AD97" i="1"/>
  <c r="AC97" i="1"/>
  <c r="AB90" i="1"/>
  <c r="AB30" i="1"/>
  <c r="AB53" i="1"/>
  <c r="AB41" i="1"/>
  <c r="AB89" i="1"/>
  <c r="AC89" i="1"/>
  <c r="AC13" i="1"/>
  <c r="AD42" i="1"/>
  <c r="L138" i="1"/>
  <c r="L136" i="1"/>
  <c r="L137" i="1"/>
  <c r="L135" i="1"/>
  <c r="K140" i="1"/>
  <c r="L44" i="1"/>
  <c r="M114" i="1" l="1"/>
  <c r="M54" i="1"/>
  <c r="K58" i="1"/>
  <c r="M129" i="1"/>
  <c r="M122" i="1"/>
  <c r="N139" i="1"/>
  <c r="AA91" i="1"/>
  <c r="AA139" i="1" s="1"/>
  <c r="M130" i="1"/>
  <c r="N92" i="1"/>
  <c r="AE92" i="1" s="1"/>
  <c r="M121" i="1"/>
  <c r="AE166" i="1"/>
  <c r="AA171" i="1"/>
  <c r="M220" i="1"/>
  <c r="AA197" i="1"/>
  <c r="AA163" i="1"/>
  <c r="O201" i="1"/>
  <c r="AA176" i="1"/>
  <c r="AE49" i="1"/>
  <c r="AE145" i="1" s="1"/>
  <c r="O175" i="1"/>
  <c r="O11" i="1"/>
  <c r="O88" i="1"/>
  <c r="AJ49" i="1"/>
  <c r="AJ145" i="1" s="1"/>
  <c r="AA193" i="1"/>
  <c r="AA195" i="1" s="1"/>
  <c r="O173" i="1"/>
  <c r="O29" i="1"/>
  <c r="O82" i="1" s="1"/>
  <c r="O19" i="1"/>
  <c r="O21" i="1" s="1"/>
  <c r="O206" i="1"/>
  <c r="O161" i="1"/>
  <c r="O176" i="1"/>
  <c r="AA49" i="1"/>
  <c r="AA145" i="1" s="1"/>
  <c r="O217" i="1"/>
  <c r="N75" i="1"/>
  <c r="O42" i="1"/>
  <c r="N143" i="1"/>
  <c r="O166" i="1"/>
  <c r="AE52" i="1"/>
  <c r="AE54" i="1" s="1"/>
  <c r="N33" i="1"/>
  <c r="AA33" i="1" s="1"/>
  <c r="N68" i="1"/>
  <c r="O49" i="1"/>
  <c r="O48" i="1" s="1"/>
  <c r="M119" i="1"/>
  <c r="O87" i="1"/>
  <c r="AA199" i="1"/>
  <c r="N16" i="1"/>
  <c r="AD16" i="1" s="1"/>
  <c r="O193" i="1"/>
  <c r="AA202" i="1"/>
  <c r="AE198" i="1"/>
  <c r="O160" i="1"/>
  <c r="M127" i="1"/>
  <c r="M26" i="1"/>
  <c r="AA87" i="1"/>
  <c r="O10" i="1"/>
  <c r="O14" i="1" s="1"/>
  <c r="N15" i="1"/>
  <c r="AA15" i="1" s="1"/>
  <c r="N31" i="1"/>
  <c r="AA31" i="1" s="1"/>
  <c r="O91" i="1"/>
  <c r="AA158" i="1"/>
  <c r="O197" i="1"/>
  <c r="O170" i="1"/>
  <c r="O39" i="1"/>
  <c r="M126" i="1"/>
  <c r="AE165" i="1"/>
  <c r="AE160" i="1"/>
  <c r="AE177" i="1"/>
  <c r="AA89" i="1"/>
  <c r="N48" i="1"/>
  <c r="N50" i="1" s="1"/>
  <c r="N146" i="1" s="1"/>
  <c r="AE88" i="1"/>
  <c r="O194" i="1"/>
  <c r="O158" i="1"/>
  <c r="AE87" i="1"/>
  <c r="N32" i="1"/>
  <c r="AD32" i="1" s="1"/>
  <c r="O43" i="1"/>
  <c r="O159" i="1"/>
  <c r="O3" i="1"/>
  <c r="N12" i="1"/>
  <c r="AE12" i="1" s="1"/>
  <c r="N34" i="1"/>
  <c r="N65" i="1"/>
  <c r="N81" i="1"/>
  <c r="M144" i="1"/>
  <c r="AE47" i="1"/>
  <c r="AE143" i="1" s="1"/>
  <c r="AA206" i="1"/>
  <c r="O204" i="1"/>
  <c r="O171" i="1"/>
  <c r="N13" i="1"/>
  <c r="AA13" i="1" s="1"/>
  <c r="O169" i="1"/>
  <c r="P5" i="1"/>
  <c r="P217" i="1" s="1"/>
  <c r="N14" i="1"/>
  <c r="AA14" i="1" s="1"/>
  <c r="N30" i="1"/>
  <c r="AE30" i="1" s="1"/>
  <c r="N67" i="1"/>
  <c r="AE53" i="1"/>
  <c r="AE149" i="1" s="1"/>
  <c r="AA162" i="1"/>
  <c r="L37" i="1"/>
  <c r="L58" i="1" s="1"/>
  <c r="O200" i="1"/>
  <c r="O165" i="1"/>
  <c r="AE172" i="1"/>
  <c r="AE43" i="1"/>
  <c r="AE139" i="1" s="1"/>
  <c r="O6" i="1"/>
  <c r="AF5" i="1" s="1"/>
  <c r="AF100" i="1" s="1"/>
  <c r="AF102" i="1" s="1"/>
  <c r="N64" i="1"/>
  <c r="O40" i="1"/>
  <c r="O163" i="1"/>
  <c r="O199" i="1"/>
  <c r="O168" i="1"/>
  <c r="AE170" i="1"/>
  <c r="O90" i="1"/>
  <c r="N80" i="1"/>
  <c r="O28" i="1"/>
  <c r="O33" i="1" s="1"/>
  <c r="O47" i="1"/>
  <c r="O143" i="1" s="1"/>
  <c r="O178" i="1"/>
  <c r="O164" i="1"/>
  <c r="AA164" i="1"/>
  <c r="AE168" i="1"/>
  <c r="AA161" i="1"/>
  <c r="N195" i="1"/>
  <c r="O172" i="1"/>
  <c r="AA47" i="1"/>
  <c r="AA143" i="1" s="1"/>
  <c r="AA178" i="1"/>
  <c r="N78" i="1"/>
  <c r="N23" i="1"/>
  <c r="AD23" i="1" s="1"/>
  <c r="N79" i="1"/>
  <c r="AA169" i="1"/>
  <c r="N22" i="1"/>
  <c r="AA22" i="1" s="1"/>
  <c r="N82" i="1"/>
  <c r="AA167" i="1"/>
  <c r="AE90" i="1"/>
  <c r="N24" i="1"/>
  <c r="AD24" i="1" s="1"/>
  <c r="AA203" i="1"/>
  <c r="AA194" i="1"/>
  <c r="O203" i="1"/>
  <c r="O202" i="1"/>
  <c r="O177" i="1"/>
  <c r="M35" i="1"/>
  <c r="N179" i="1"/>
  <c r="AA159" i="1"/>
  <c r="O89" i="1"/>
  <c r="N218" i="1"/>
  <c r="N25" i="1"/>
  <c r="AD25" i="1" s="1"/>
  <c r="AA175" i="1"/>
  <c r="AA200" i="1"/>
  <c r="AA90" i="1"/>
  <c r="N21" i="1"/>
  <c r="AA21" i="1" s="1"/>
  <c r="N71" i="1"/>
  <c r="AA204" i="1"/>
  <c r="O198" i="1"/>
  <c r="O162" i="1"/>
  <c r="P169" i="1"/>
  <c r="P172" i="1"/>
  <c r="P200" i="1"/>
  <c r="AD195" i="1"/>
  <c r="AC195" i="1"/>
  <c r="AD218" i="1"/>
  <c r="P194" i="1"/>
  <c r="AC179" i="1"/>
  <c r="AD179" i="1"/>
  <c r="AE195" i="1"/>
  <c r="AB218" i="1"/>
  <c r="AB179" i="1"/>
  <c r="AC218" i="1"/>
  <c r="AB195" i="1"/>
  <c r="AA52" i="1"/>
  <c r="AA148" i="1" s="1"/>
  <c r="N54" i="1"/>
  <c r="N148" i="1"/>
  <c r="O145" i="1"/>
  <c r="O149" i="1"/>
  <c r="O52" i="1"/>
  <c r="AJ52" i="1"/>
  <c r="M150" i="1"/>
  <c r="M56" i="1"/>
  <c r="M152" i="1" s="1"/>
  <c r="AA149" i="1"/>
  <c r="AB136" i="1"/>
  <c r="AA12" i="1"/>
  <c r="AD33" i="1"/>
  <c r="AD22" i="1"/>
  <c r="AD139" i="1"/>
  <c r="AD14" i="1"/>
  <c r="AD12" i="1"/>
  <c r="AD13" i="1"/>
  <c r="AC149" i="1"/>
  <c r="AC139" i="1"/>
  <c r="AB139" i="1"/>
  <c r="O72" i="1"/>
  <c r="AB145" i="1"/>
  <c r="AB149" i="1"/>
  <c r="AD143" i="1"/>
  <c r="AD98" i="1"/>
  <c r="AD104" i="1" s="1"/>
  <c r="AC138" i="1"/>
  <c r="AD138" i="1"/>
  <c r="AC143" i="1"/>
  <c r="O34" i="1"/>
  <c r="O31" i="1"/>
  <c r="O30" i="1"/>
  <c r="AD149" i="1"/>
  <c r="AD145" i="1"/>
  <c r="AC145" i="1"/>
  <c r="AD92" i="1"/>
  <c r="AB26" i="1"/>
  <c r="AB137" i="1"/>
  <c r="AB138" i="1"/>
  <c r="AB92" i="1"/>
  <c r="AC54" i="1"/>
  <c r="AC148" i="1"/>
  <c r="AC137" i="1"/>
  <c r="AC44" i="1"/>
  <c r="AC135" i="1"/>
  <c r="AC35" i="1"/>
  <c r="AC92" i="1"/>
  <c r="AB54" i="1"/>
  <c r="AB148" i="1"/>
  <c r="AA98" i="1"/>
  <c r="AA104" i="1" s="1"/>
  <c r="AF95" i="1"/>
  <c r="AC26" i="1"/>
  <c r="AC136" i="1"/>
  <c r="AB98" i="1"/>
  <c r="AB104" i="1" s="1"/>
  <c r="AC50" i="1"/>
  <c r="AC144" i="1"/>
  <c r="AD50" i="1"/>
  <c r="AD144" i="1"/>
  <c r="AB17" i="1"/>
  <c r="AC98" i="1"/>
  <c r="AC104" i="1" s="1"/>
  <c r="AC17" i="1"/>
  <c r="AB44" i="1"/>
  <c r="AB135" i="1"/>
  <c r="AD15" i="1"/>
  <c r="AB144" i="1"/>
  <c r="AB50" i="1"/>
  <c r="AD21" i="1"/>
  <c r="AB35" i="1"/>
  <c r="AD54" i="1"/>
  <c r="AD148" i="1"/>
  <c r="AB143" i="1"/>
  <c r="M136" i="1"/>
  <c r="AD40" i="1"/>
  <c r="AD136" i="1" s="1"/>
  <c r="M138" i="1"/>
  <c r="AD41" i="1"/>
  <c r="AD137" i="1" s="1"/>
  <c r="M137" i="1"/>
  <c r="L140" i="1"/>
  <c r="M135" i="1"/>
  <c r="M44" i="1"/>
  <c r="AD39" i="1"/>
  <c r="AE148" i="1" l="1"/>
  <c r="N130" i="1"/>
  <c r="AE16" i="1"/>
  <c r="O139" i="1"/>
  <c r="N127" i="1"/>
  <c r="O92" i="1"/>
  <c r="AA48" i="1"/>
  <c r="AA144" i="1" s="1"/>
  <c r="AA32" i="1"/>
  <c r="N116" i="1"/>
  <c r="AE31" i="1"/>
  <c r="AA16" i="1"/>
  <c r="AA17" i="1" s="1"/>
  <c r="N121" i="1"/>
  <c r="AE218" i="1"/>
  <c r="AB220" i="1"/>
  <c r="AD220" i="1"/>
  <c r="N220" i="1"/>
  <c r="AC220" i="1"/>
  <c r="O195" i="1"/>
  <c r="O71" i="1"/>
  <c r="O119" i="1" s="1"/>
  <c r="O68" i="1"/>
  <c r="N112" i="1"/>
  <c r="P6" i="1"/>
  <c r="O12" i="1"/>
  <c r="O112" i="1" s="1"/>
  <c r="O32" i="1"/>
  <c r="O35" i="1" s="1"/>
  <c r="O75" i="1"/>
  <c r="AE33" i="1"/>
  <c r="P40" i="1"/>
  <c r="P193" i="1"/>
  <c r="P195" i="1" s="1"/>
  <c r="P28" i="1"/>
  <c r="P32" i="1" s="1"/>
  <c r="O16" i="1"/>
  <c r="O74" i="1"/>
  <c r="N129" i="1"/>
  <c r="P29" i="1"/>
  <c r="O73" i="1"/>
  <c r="O23" i="1"/>
  <c r="O121" i="1" s="1"/>
  <c r="O80" i="1"/>
  <c r="AF49" i="1"/>
  <c r="O22" i="1"/>
  <c r="O78" i="1"/>
  <c r="O126" i="1" s="1"/>
  <c r="AF97" i="1"/>
  <c r="AF145" i="1" s="1"/>
  <c r="AE24" i="1"/>
  <c r="O24" i="1"/>
  <c r="O81" i="1"/>
  <c r="N144" i="1"/>
  <c r="AE179" i="1"/>
  <c r="O25" i="1"/>
  <c r="O79" i="1"/>
  <c r="O127" i="1" s="1"/>
  <c r="P199" i="1"/>
  <c r="AF53" i="1"/>
  <c r="P201" i="1"/>
  <c r="AE13" i="1"/>
  <c r="N128" i="1"/>
  <c r="AD35" i="1"/>
  <c r="P205" i="1"/>
  <c r="N113" i="1"/>
  <c r="P19" i="1"/>
  <c r="P71" i="1" s="1"/>
  <c r="O15" i="1"/>
  <c r="O115" i="1" s="1"/>
  <c r="AE48" i="1"/>
  <c r="AE144" i="1" s="1"/>
  <c r="P202" i="1"/>
  <c r="P203" i="1"/>
  <c r="P165" i="1"/>
  <c r="N17" i="1"/>
  <c r="P91" i="1"/>
  <c r="P159" i="1"/>
  <c r="P164" i="1"/>
  <c r="P204" i="1"/>
  <c r="P42" i="1"/>
  <c r="Q42" i="1" s="1"/>
  <c r="AA30" i="1"/>
  <c r="O66" i="1"/>
  <c r="O114" i="1" s="1"/>
  <c r="P175" i="1"/>
  <c r="P158" i="1"/>
  <c r="N35" i="1"/>
  <c r="AE35" i="1" s="1"/>
  <c r="P174" i="1"/>
  <c r="P160" i="1"/>
  <c r="M37" i="1"/>
  <c r="M58" i="1" s="1"/>
  <c r="P162" i="1"/>
  <c r="AF48" i="1"/>
  <c r="AF144" i="1" s="1"/>
  <c r="AF52" i="1"/>
  <c r="AF54" i="1" s="1"/>
  <c r="AE25" i="1"/>
  <c r="AA34" i="1"/>
  <c r="P90" i="1"/>
  <c r="P176" i="1"/>
  <c r="P206" i="1"/>
  <c r="P167" i="1"/>
  <c r="N119" i="1"/>
  <c r="N126" i="1"/>
  <c r="P178" i="1"/>
  <c r="P89" i="1"/>
  <c r="Q89" i="1" s="1"/>
  <c r="O218" i="1"/>
  <c r="O220" i="1" s="1"/>
  <c r="AA179" i="1"/>
  <c r="AA25" i="1"/>
  <c r="AE32" i="1"/>
  <c r="P39" i="1"/>
  <c r="P87" i="1"/>
  <c r="P47" i="1"/>
  <c r="P143" i="1" s="1"/>
  <c r="P198" i="1"/>
  <c r="P161" i="1"/>
  <c r="P171" i="1"/>
  <c r="AA92" i="1"/>
  <c r="P168" i="1"/>
  <c r="P11" i="1"/>
  <c r="P65" i="1" s="1"/>
  <c r="O65" i="1"/>
  <c r="AG5" i="1"/>
  <c r="AG49" i="1" s="1"/>
  <c r="AE34" i="1"/>
  <c r="AF101" i="1"/>
  <c r="O64" i="1"/>
  <c r="AF6" i="1"/>
  <c r="AE15" i="1"/>
  <c r="AF96" i="1"/>
  <c r="AF98" i="1" s="1"/>
  <c r="AF104" i="1" s="1"/>
  <c r="P10" i="1"/>
  <c r="P16" i="1" s="1"/>
  <c r="N115" i="1"/>
  <c r="AE14" i="1"/>
  <c r="AF47" i="1"/>
  <c r="AF143" i="1" s="1"/>
  <c r="Q5" i="1"/>
  <c r="Q217" i="1" s="1"/>
  <c r="N123" i="1"/>
  <c r="O13" i="1"/>
  <c r="P43" i="1"/>
  <c r="AJ48" i="1"/>
  <c r="AJ50" i="1" s="1"/>
  <c r="AJ146" i="1" s="1"/>
  <c r="P49" i="1"/>
  <c r="P166" i="1"/>
  <c r="P173" i="1"/>
  <c r="P170" i="1"/>
  <c r="AA218" i="1"/>
  <c r="O179" i="1"/>
  <c r="P20" i="1"/>
  <c r="O67" i="1"/>
  <c r="P88" i="1"/>
  <c r="P177" i="1"/>
  <c r="N114" i="1"/>
  <c r="P3" i="1"/>
  <c r="P41" i="1"/>
  <c r="P53" i="1"/>
  <c r="P149" i="1" s="1"/>
  <c r="P163" i="1"/>
  <c r="P197" i="1"/>
  <c r="N120" i="1"/>
  <c r="AA24" i="1"/>
  <c r="AE21" i="1"/>
  <c r="N122" i="1"/>
  <c r="N26" i="1"/>
  <c r="AE26" i="1" s="1"/>
  <c r="AE22" i="1"/>
  <c r="AE23" i="1"/>
  <c r="AA23" i="1"/>
  <c r="Q167" i="1"/>
  <c r="Q159" i="1"/>
  <c r="Q201" i="1"/>
  <c r="Q175" i="1"/>
  <c r="Q198" i="1"/>
  <c r="AA54" i="1"/>
  <c r="AE150" i="1"/>
  <c r="P145" i="1"/>
  <c r="P48" i="1"/>
  <c r="O144" i="1"/>
  <c r="O50" i="1"/>
  <c r="AJ54" i="1"/>
  <c r="AJ148" i="1"/>
  <c r="O54" i="1"/>
  <c r="O150" i="1" s="1"/>
  <c r="O148" i="1"/>
  <c r="N150" i="1"/>
  <c r="N56" i="1"/>
  <c r="N152" i="1" s="1"/>
  <c r="AD26" i="1"/>
  <c r="AD17" i="1"/>
  <c r="AD146" i="1"/>
  <c r="P73" i="1"/>
  <c r="AB146" i="1"/>
  <c r="O129" i="1"/>
  <c r="O130" i="1"/>
  <c r="P34" i="1"/>
  <c r="AB140" i="1"/>
  <c r="AB150" i="1"/>
  <c r="AB56" i="1"/>
  <c r="AB152" i="1" s="1"/>
  <c r="AC140" i="1"/>
  <c r="AC37" i="1"/>
  <c r="AC146" i="1"/>
  <c r="AD150" i="1"/>
  <c r="AD56" i="1"/>
  <c r="AD152" i="1" s="1"/>
  <c r="R5" i="1"/>
  <c r="Q3" i="1"/>
  <c r="AC150" i="1"/>
  <c r="AC56" i="1"/>
  <c r="AC152" i="1" s="1"/>
  <c r="AB37" i="1"/>
  <c r="AA42" i="1"/>
  <c r="AA138" i="1" s="1"/>
  <c r="AE42" i="1"/>
  <c r="N138" i="1"/>
  <c r="AE40" i="1"/>
  <c r="N136" i="1"/>
  <c r="AA40" i="1"/>
  <c r="AA136" i="1" s="1"/>
  <c r="AA41" i="1"/>
  <c r="AA137" i="1" s="1"/>
  <c r="AE41" i="1"/>
  <c r="N137" i="1"/>
  <c r="N135" i="1"/>
  <c r="AE39" i="1"/>
  <c r="M140" i="1"/>
  <c r="AD44" i="1"/>
  <c r="AD135" i="1"/>
  <c r="AA39" i="1"/>
  <c r="N44" i="1"/>
  <c r="N140" i="1" s="1"/>
  <c r="P139" i="1" l="1"/>
  <c r="O26" i="1"/>
  <c r="O123" i="1"/>
  <c r="AJ144" i="1"/>
  <c r="AE50" i="1"/>
  <c r="AE146" i="1" s="1"/>
  <c r="AF148" i="1"/>
  <c r="AA50" i="1"/>
  <c r="AA146" i="1" s="1"/>
  <c r="O128" i="1"/>
  <c r="P92" i="1"/>
  <c r="O122" i="1"/>
  <c r="O116" i="1"/>
  <c r="AA220" i="1"/>
  <c r="AE220" i="1"/>
  <c r="P179" i="1"/>
  <c r="O17" i="1"/>
  <c r="P68" i="1"/>
  <c r="P116" i="1" s="1"/>
  <c r="P218" i="1"/>
  <c r="P220" i="1" s="1"/>
  <c r="P80" i="1"/>
  <c r="P128" i="1" s="1"/>
  <c r="AE17" i="1"/>
  <c r="AE37" i="1" s="1"/>
  <c r="AG96" i="1"/>
  <c r="O120" i="1"/>
  <c r="P79" i="1"/>
  <c r="P13" i="1"/>
  <c r="P113" i="1" s="1"/>
  <c r="P82" i="1"/>
  <c r="P130" i="1" s="1"/>
  <c r="AF50" i="1"/>
  <c r="AF146" i="1" s="1"/>
  <c r="P33" i="1"/>
  <c r="P78" i="1"/>
  <c r="AF149" i="1"/>
  <c r="P15" i="1"/>
  <c r="P81" i="1"/>
  <c r="AA56" i="1"/>
  <c r="AA152" i="1" s="1"/>
  <c r="P31" i="1"/>
  <c r="P52" i="1"/>
  <c r="P148" i="1" s="1"/>
  <c r="P30" i="1"/>
  <c r="AA35" i="1"/>
  <c r="Q91" i="1"/>
  <c r="R91" i="1" s="1"/>
  <c r="AA26" i="1"/>
  <c r="P72" i="1"/>
  <c r="O113" i="1"/>
  <c r="AG52" i="1"/>
  <c r="AG148" i="1" s="1"/>
  <c r="Q6" i="1"/>
  <c r="P75" i="1"/>
  <c r="Q200" i="1"/>
  <c r="Q199" i="1"/>
  <c r="Q165" i="1"/>
  <c r="AH5" i="1"/>
  <c r="AH47" i="1" s="1"/>
  <c r="Q10" i="1"/>
  <c r="Q67" i="1" s="1"/>
  <c r="P14" i="1"/>
  <c r="P74" i="1"/>
  <c r="Q193" i="1"/>
  <c r="Q197" i="1"/>
  <c r="Q205" i="1"/>
  <c r="Q168" i="1"/>
  <c r="AG100" i="1"/>
  <c r="AG102" i="1" s="1"/>
  <c r="Q28" i="1"/>
  <c r="P21" i="1"/>
  <c r="P119" i="1" s="1"/>
  <c r="Q203" i="1"/>
  <c r="Q170" i="1"/>
  <c r="Q166" i="1"/>
  <c r="AG95" i="1"/>
  <c r="AG143" i="1" s="1"/>
  <c r="P25" i="1"/>
  <c r="P24" i="1"/>
  <c r="P12" i="1"/>
  <c r="Q41" i="1"/>
  <c r="R41" i="1" s="1"/>
  <c r="Q29" i="1"/>
  <c r="P23" i="1"/>
  <c r="P121" i="1" s="1"/>
  <c r="P64" i="1"/>
  <c r="Q43" i="1"/>
  <c r="R43" i="1" s="1"/>
  <c r="Q177" i="1"/>
  <c r="Q20" i="1"/>
  <c r="P22" i="1"/>
  <c r="P66" i="1"/>
  <c r="Q40" i="1"/>
  <c r="R40" i="1" s="1"/>
  <c r="Q90" i="1"/>
  <c r="R90" i="1" s="1"/>
  <c r="Q176" i="1"/>
  <c r="Q161" i="1"/>
  <c r="Q158" i="1"/>
  <c r="AG97" i="1"/>
  <c r="AG145" i="1" s="1"/>
  <c r="Q194" i="1"/>
  <c r="Q178" i="1"/>
  <c r="AG101" i="1"/>
  <c r="AG149" i="1" s="1"/>
  <c r="Q11" i="1"/>
  <c r="P67" i="1"/>
  <c r="Q87" i="1"/>
  <c r="R87" i="1" s="1"/>
  <c r="Q206" i="1"/>
  <c r="Q160" i="1"/>
  <c r="AG53" i="1"/>
  <c r="Q204" i="1"/>
  <c r="AG47" i="1"/>
  <c r="Q47" i="1"/>
  <c r="Q143" i="1" s="1"/>
  <c r="Q39" i="1"/>
  <c r="R39" i="1" s="1"/>
  <c r="Q164" i="1"/>
  <c r="Q173" i="1"/>
  <c r="Q172" i="1"/>
  <c r="Q19" i="1"/>
  <c r="Q73" i="1" s="1"/>
  <c r="Q169" i="1"/>
  <c r="AG48" i="1"/>
  <c r="AG50" i="1" s="1"/>
  <c r="Q49" i="1"/>
  <c r="Q145" i="1" s="1"/>
  <c r="Q88" i="1"/>
  <c r="Q162" i="1"/>
  <c r="Q163" i="1"/>
  <c r="Q171" i="1"/>
  <c r="Q53" i="1"/>
  <c r="Q149" i="1" s="1"/>
  <c r="Q174" i="1"/>
  <c r="Q202" i="1"/>
  <c r="N37" i="1"/>
  <c r="N58" i="1" s="1"/>
  <c r="AA150" i="1"/>
  <c r="R172" i="1"/>
  <c r="R167" i="1"/>
  <c r="R158" i="1"/>
  <c r="R170" i="1"/>
  <c r="R217" i="1"/>
  <c r="R171" i="1"/>
  <c r="R165" i="1"/>
  <c r="R177" i="1"/>
  <c r="R159" i="1"/>
  <c r="R169" i="1"/>
  <c r="R160" i="1"/>
  <c r="R168" i="1"/>
  <c r="R206" i="1"/>
  <c r="R164" i="1"/>
  <c r="R166" i="1"/>
  <c r="R161" i="1"/>
  <c r="R203" i="1"/>
  <c r="R178" i="1"/>
  <c r="R205" i="1"/>
  <c r="R199" i="1"/>
  <c r="R163" i="1"/>
  <c r="R176" i="1"/>
  <c r="R175" i="1"/>
  <c r="R198" i="1"/>
  <c r="R173" i="1"/>
  <c r="R202" i="1"/>
  <c r="R204" i="1"/>
  <c r="R200" i="1"/>
  <c r="R197" i="1"/>
  <c r="R174" i="1"/>
  <c r="R162" i="1"/>
  <c r="R201" i="1"/>
  <c r="R194" i="1"/>
  <c r="R193" i="1"/>
  <c r="AJ150" i="1"/>
  <c r="AJ56" i="1"/>
  <c r="AJ152" i="1" s="1"/>
  <c r="P144" i="1"/>
  <c r="P50" i="1"/>
  <c r="P146" i="1" s="1"/>
  <c r="O56" i="1"/>
  <c r="O152" i="1" s="1"/>
  <c r="O146" i="1"/>
  <c r="R42" i="1"/>
  <c r="R53" i="1"/>
  <c r="R49" i="1"/>
  <c r="R47" i="1"/>
  <c r="R143" i="1" s="1"/>
  <c r="R89" i="1"/>
  <c r="AD37" i="1"/>
  <c r="AD58" i="1" s="1"/>
  <c r="AE135" i="1"/>
  <c r="AE137" i="1"/>
  <c r="AE136" i="1"/>
  <c r="AE138" i="1"/>
  <c r="Q78" i="1"/>
  <c r="Q79" i="1"/>
  <c r="Q81" i="1"/>
  <c r="Q82" i="1"/>
  <c r="Q80" i="1"/>
  <c r="Q32" i="1"/>
  <c r="Q30" i="1"/>
  <c r="Q33" i="1"/>
  <c r="Q31" i="1"/>
  <c r="Q34" i="1"/>
  <c r="AB58" i="1"/>
  <c r="AH53" i="1"/>
  <c r="AH100" i="1"/>
  <c r="AH102" i="1" s="1"/>
  <c r="AH52" i="1"/>
  <c r="AH49" i="1"/>
  <c r="AF150" i="1"/>
  <c r="AC58" i="1"/>
  <c r="R11" i="1"/>
  <c r="R29" i="1"/>
  <c r="R20" i="1"/>
  <c r="R19" i="1"/>
  <c r="R28" i="1"/>
  <c r="R3" i="1"/>
  <c r="S5" i="1"/>
  <c r="R6" i="1"/>
  <c r="R10" i="1"/>
  <c r="O136" i="1"/>
  <c r="O138" i="1"/>
  <c r="O137" i="1"/>
  <c r="AD140" i="1"/>
  <c r="AA44" i="1"/>
  <c r="AA135" i="1"/>
  <c r="O135" i="1"/>
  <c r="AE44" i="1"/>
  <c r="O44" i="1"/>
  <c r="O37" i="1" l="1"/>
  <c r="P115" i="1"/>
  <c r="AE56" i="1"/>
  <c r="AE152" i="1" s="1"/>
  <c r="P126" i="1"/>
  <c r="P127" i="1"/>
  <c r="P35" i="1"/>
  <c r="P54" i="1"/>
  <c r="AG54" i="1"/>
  <c r="AG56" i="1" s="1"/>
  <c r="AG152" i="1" s="1"/>
  <c r="P129" i="1"/>
  <c r="P123" i="1"/>
  <c r="AA37" i="1"/>
  <c r="AA58" i="1" s="1"/>
  <c r="Q139" i="1"/>
  <c r="P114" i="1"/>
  <c r="P26" i="1"/>
  <c r="Q21" i="1"/>
  <c r="AF56" i="1"/>
  <c r="AF152" i="1" s="1"/>
  <c r="Q24" i="1"/>
  <c r="AH95" i="1"/>
  <c r="Q23" i="1"/>
  <c r="Q121" i="1" s="1"/>
  <c r="Q52" i="1"/>
  <c r="Q148" i="1" s="1"/>
  <c r="AH97" i="1"/>
  <c r="AI5" i="1"/>
  <c r="AI95" i="1" s="1"/>
  <c r="AH48" i="1"/>
  <c r="AH144" i="1" s="1"/>
  <c r="AH101" i="1"/>
  <c r="AH149" i="1" s="1"/>
  <c r="Q92" i="1"/>
  <c r="P17" i="1"/>
  <c r="Q218" i="1"/>
  <c r="AH96" i="1"/>
  <c r="Q64" i="1"/>
  <c r="Q25" i="1"/>
  <c r="Q22" i="1"/>
  <c r="Q15" i="1"/>
  <c r="Q115" i="1" s="1"/>
  <c r="Q71" i="1"/>
  <c r="P120" i="1"/>
  <c r="Q14" i="1"/>
  <c r="Q75" i="1"/>
  <c r="Q179" i="1"/>
  <c r="P122" i="1"/>
  <c r="Q195" i="1"/>
  <c r="P112" i="1"/>
  <c r="AG144" i="1"/>
  <c r="AG98" i="1"/>
  <c r="AG104" i="1" s="1"/>
  <c r="Q13" i="1"/>
  <c r="Q66" i="1"/>
  <c r="Q12" i="1"/>
  <c r="Q68" i="1"/>
  <c r="Q16" i="1"/>
  <c r="Q72" i="1"/>
  <c r="Q65" i="1"/>
  <c r="Q74" i="1"/>
  <c r="R88" i="1"/>
  <c r="S88" i="1" s="1"/>
  <c r="Q48" i="1"/>
  <c r="Q144" i="1" s="1"/>
  <c r="R218" i="1"/>
  <c r="S167" i="1"/>
  <c r="S171" i="1"/>
  <c r="S177" i="1"/>
  <c r="S165" i="1"/>
  <c r="S217" i="1"/>
  <c r="S159" i="1"/>
  <c r="S170" i="1"/>
  <c r="S169" i="1"/>
  <c r="S199" i="1"/>
  <c r="S160" i="1"/>
  <c r="S168" i="1"/>
  <c r="S163" i="1"/>
  <c r="S175" i="1"/>
  <c r="S166" i="1"/>
  <c r="S174" i="1"/>
  <c r="S198" i="1"/>
  <c r="S202" i="1"/>
  <c r="S178" i="1"/>
  <c r="S162" i="1"/>
  <c r="S176" i="1"/>
  <c r="S200" i="1"/>
  <c r="S203" i="1"/>
  <c r="S201" i="1"/>
  <c r="S173" i="1"/>
  <c r="S158" i="1"/>
  <c r="S197" i="1"/>
  <c r="S204" i="1"/>
  <c r="S164" i="1"/>
  <c r="S205" i="1"/>
  <c r="S161" i="1"/>
  <c r="S172" i="1"/>
  <c r="S206" i="1"/>
  <c r="R195" i="1"/>
  <c r="S194" i="1"/>
  <c r="S193" i="1"/>
  <c r="R179" i="1"/>
  <c r="S87" i="1"/>
  <c r="AG6" i="1"/>
  <c r="P150" i="1"/>
  <c r="P56" i="1"/>
  <c r="P152" i="1" s="1"/>
  <c r="S89" i="1"/>
  <c r="R145" i="1"/>
  <c r="R48" i="1"/>
  <c r="R149" i="1"/>
  <c r="R52" i="1"/>
  <c r="S90" i="1"/>
  <c r="S91" i="1"/>
  <c r="S42" i="1"/>
  <c r="S53" i="1"/>
  <c r="S49" i="1"/>
  <c r="S47" i="1"/>
  <c r="S143" i="1" s="1"/>
  <c r="S43" i="1"/>
  <c r="S41" i="1"/>
  <c r="S39" i="1"/>
  <c r="S40" i="1"/>
  <c r="R64" i="1"/>
  <c r="R67" i="1"/>
  <c r="R65" i="1"/>
  <c r="R68" i="1"/>
  <c r="R66" i="1"/>
  <c r="R78" i="1"/>
  <c r="R79" i="1"/>
  <c r="R80" i="1"/>
  <c r="R81" i="1"/>
  <c r="R82" i="1"/>
  <c r="R73" i="1"/>
  <c r="R71" i="1"/>
  <c r="R75" i="1"/>
  <c r="R72" i="1"/>
  <c r="R74" i="1"/>
  <c r="Q128" i="1"/>
  <c r="Q127" i="1"/>
  <c r="Q126" i="1"/>
  <c r="Q35" i="1"/>
  <c r="Q130" i="1"/>
  <c r="R16" i="1"/>
  <c r="R13" i="1"/>
  <c r="R14" i="1"/>
  <c r="R12" i="1"/>
  <c r="R15" i="1"/>
  <c r="Q129" i="1"/>
  <c r="R30" i="1"/>
  <c r="R33" i="1"/>
  <c r="R31" i="1"/>
  <c r="R32" i="1"/>
  <c r="R34" i="1"/>
  <c r="R23" i="1"/>
  <c r="R24" i="1"/>
  <c r="R25" i="1"/>
  <c r="R22" i="1"/>
  <c r="R21" i="1"/>
  <c r="AH143" i="1"/>
  <c r="AH98" i="1"/>
  <c r="AH104" i="1" s="1"/>
  <c r="AH145" i="1"/>
  <c r="AH54" i="1"/>
  <c r="AH148" i="1"/>
  <c r="AI52" i="1"/>
  <c r="AI47" i="1"/>
  <c r="AI53" i="1"/>
  <c r="AI97" i="1"/>
  <c r="S20" i="1"/>
  <c r="S11" i="1"/>
  <c r="S29" i="1"/>
  <c r="S19" i="1"/>
  <c r="S28" i="1"/>
  <c r="S10" i="1"/>
  <c r="S6" i="1"/>
  <c r="S3" i="1"/>
  <c r="T5" i="1"/>
  <c r="P136" i="1"/>
  <c r="P138" i="1"/>
  <c r="P137" i="1"/>
  <c r="P135" i="1"/>
  <c r="R139" i="1"/>
  <c r="AE140" i="1"/>
  <c r="AA140" i="1"/>
  <c r="O58" i="1"/>
  <c r="O140" i="1"/>
  <c r="P44" i="1"/>
  <c r="Q113" i="1" l="1"/>
  <c r="AE58" i="1"/>
  <c r="Q120" i="1"/>
  <c r="Q116" i="1"/>
  <c r="P37" i="1"/>
  <c r="AG150" i="1"/>
  <c r="Q54" i="1"/>
  <c r="Q122" i="1"/>
  <c r="Q123" i="1"/>
  <c r="Q50" i="1"/>
  <c r="Q146" i="1" s="1"/>
  <c r="Q114" i="1"/>
  <c r="Q112" i="1"/>
  <c r="Q119" i="1"/>
  <c r="Q26" i="1"/>
  <c r="Q220" i="1"/>
  <c r="R220" i="1"/>
  <c r="Q17" i="1"/>
  <c r="AI49" i="1"/>
  <c r="AH50" i="1"/>
  <c r="AH146" i="1" s="1"/>
  <c r="AI96" i="1"/>
  <c r="AI101" i="1"/>
  <c r="AI100" i="1"/>
  <c r="AI102" i="1" s="1"/>
  <c r="AI48" i="1"/>
  <c r="AI50" i="1" s="1"/>
  <c r="R92" i="1"/>
  <c r="AG146" i="1"/>
  <c r="S218" i="1"/>
  <c r="T172" i="1"/>
  <c r="T167" i="1"/>
  <c r="T158" i="1"/>
  <c r="T177" i="1"/>
  <c r="T159" i="1"/>
  <c r="T168" i="1"/>
  <c r="T165" i="1"/>
  <c r="T217" i="1"/>
  <c r="T160" i="1"/>
  <c r="T205" i="1"/>
  <c r="T170" i="1"/>
  <c r="T206" i="1"/>
  <c r="T169" i="1"/>
  <c r="T163" i="1"/>
  <c r="T174" i="1"/>
  <c r="T162" i="1"/>
  <c r="T166" i="1"/>
  <c r="T161" i="1"/>
  <c r="T197" i="1"/>
  <c r="T171" i="1"/>
  <c r="T199" i="1"/>
  <c r="T178" i="1"/>
  <c r="T202" i="1"/>
  <c r="T164" i="1"/>
  <c r="T203" i="1"/>
  <c r="T204" i="1"/>
  <c r="T176" i="1"/>
  <c r="T201" i="1"/>
  <c r="T175" i="1"/>
  <c r="T200" i="1"/>
  <c r="T173" i="1"/>
  <c r="T198" i="1"/>
  <c r="T194" i="1"/>
  <c r="T193" i="1"/>
  <c r="S195" i="1"/>
  <c r="S179" i="1"/>
  <c r="T90" i="1"/>
  <c r="T42" i="1"/>
  <c r="T53" i="1"/>
  <c r="T49" i="1"/>
  <c r="T47" i="1"/>
  <c r="T143" i="1" s="1"/>
  <c r="S145" i="1"/>
  <c r="S48" i="1"/>
  <c r="Q150" i="1"/>
  <c r="T89" i="1"/>
  <c r="R54" i="1"/>
  <c r="R148" i="1"/>
  <c r="R144" i="1"/>
  <c r="R50" i="1"/>
  <c r="R146" i="1" s="1"/>
  <c r="T91" i="1"/>
  <c r="S149" i="1"/>
  <c r="S52" i="1"/>
  <c r="T87" i="1"/>
  <c r="T88" i="1"/>
  <c r="T40" i="1"/>
  <c r="T41" i="1"/>
  <c r="T39" i="1"/>
  <c r="T43" i="1"/>
  <c r="R115" i="1"/>
  <c r="R128" i="1"/>
  <c r="R127" i="1"/>
  <c r="R130" i="1"/>
  <c r="S71" i="1"/>
  <c r="S75" i="1"/>
  <c r="S72" i="1"/>
  <c r="S74" i="1"/>
  <c r="S73" i="1"/>
  <c r="R129" i="1"/>
  <c r="R122" i="1"/>
  <c r="S64" i="1"/>
  <c r="S67" i="1"/>
  <c r="S65" i="1"/>
  <c r="S66" i="1"/>
  <c r="S68" i="1"/>
  <c r="R121" i="1"/>
  <c r="S79" i="1"/>
  <c r="S80" i="1"/>
  <c r="S81" i="1"/>
  <c r="S78" i="1"/>
  <c r="S82" i="1"/>
  <c r="AI149" i="1"/>
  <c r="R126" i="1"/>
  <c r="R35" i="1"/>
  <c r="S14" i="1"/>
  <c r="S12" i="1"/>
  <c r="S13" i="1"/>
  <c r="S16" i="1"/>
  <c r="S15" i="1"/>
  <c r="S30" i="1"/>
  <c r="S34" i="1"/>
  <c r="S31" i="1"/>
  <c r="S33" i="1"/>
  <c r="S32" i="1"/>
  <c r="S23" i="1"/>
  <c r="S24" i="1"/>
  <c r="S25" i="1"/>
  <c r="S21" i="1"/>
  <c r="S22" i="1"/>
  <c r="R120" i="1"/>
  <c r="R123" i="1"/>
  <c r="R113" i="1"/>
  <c r="T20" i="1"/>
  <c r="T11" i="1"/>
  <c r="T29" i="1"/>
  <c r="T19" i="1"/>
  <c r="T28" i="1"/>
  <c r="U5" i="1"/>
  <c r="T3" i="1"/>
  <c r="T6" i="1"/>
  <c r="T10" i="1"/>
  <c r="AI143" i="1"/>
  <c r="R116" i="1"/>
  <c r="AI148" i="1"/>
  <c r="AI54" i="1"/>
  <c r="R112" i="1"/>
  <c r="R17" i="1"/>
  <c r="R119" i="1"/>
  <c r="R26" i="1"/>
  <c r="R114" i="1"/>
  <c r="AI98" i="1"/>
  <c r="AI104" i="1" s="1"/>
  <c r="AI145" i="1"/>
  <c r="AH150" i="1"/>
  <c r="Q138" i="1"/>
  <c r="Q136" i="1"/>
  <c r="Q137" i="1"/>
  <c r="Q135" i="1"/>
  <c r="P58" i="1"/>
  <c r="P140" i="1"/>
  <c r="S139" i="1"/>
  <c r="S92" i="1"/>
  <c r="Q44" i="1"/>
  <c r="Q56" i="1" l="1"/>
  <c r="Q152" i="1" s="1"/>
  <c r="AH56" i="1"/>
  <c r="AH152" i="1" s="1"/>
  <c r="Q37" i="1"/>
  <c r="AI144" i="1"/>
  <c r="S220" i="1"/>
  <c r="U167" i="1"/>
  <c r="U177" i="1"/>
  <c r="U165" i="1"/>
  <c r="U217" i="1"/>
  <c r="U159" i="1"/>
  <c r="U168" i="1"/>
  <c r="U160" i="1"/>
  <c r="U170" i="1"/>
  <c r="U174" i="1"/>
  <c r="U169" i="1"/>
  <c r="U206" i="1"/>
  <c r="U175" i="1"/>
  <c r="U162" i="1"/>
  <c r="U205" i="1"/>
  <c r="U158" i="1"/>
  <c r="U178" i="1"/>
  <c r="U200" i="1"/>
  <c r="U161" i="1"/>
  <c r="U202" i="1"/>
  <c r="U203" i="1"/>
  <c r="U201" i="1"/>
  <c r="U164" i="1"/>
  <c r="U163" i="1"/>
  <c r="U173" i="1"/>
  <c r="U176" i="1"/>
  <c r="U204" i="1"/>
  <c r="U171" i="1"/>
  <c r="U166" i="1"/>
  <c r="U172" i="1"/>
  <c r="U197" i="1"/>
  <c r="U198" i="1"/>
  <c r="U199" i="1"/>
  <c r="T218" i="1"/>
  <c r="T179" i="1"/>
  <c r="T195" i="1"/>
  <c r="U193" i="1"/>
  <c r="U194" i="1"/>
  <c r="U90" i="1"/>
  <c r="U88" i="1"/>
  <c r="U87" i="1"/>
  <c r="S144" i="1"/>
  <c r="S50" i="1"/>
  <c r="S146" i="1" s="1"/>
  <c r="S148" i="1"/>
  <c r="S54" i="1"/>
  <c r="T145" i="1"/>
  <c r="T48" i="1"/>
  <c r="R150" i="1"/>
  <c r="R56" i="1"/>
  <c r="R152" i="1" s="1"/>
  <c r="U42" i="1"/>
  <c r="U53" i="1"/>
  <c r="U49" i="1"/>
  <c r="U47" i="1"/>
  <c r="U143" i="1" s="1"/>
  <c r="U91" i="1"/>
  <c r="T149" i="1"/>
  <c r="T52" i="1"/>
  <c r="U89" i="1"/>
  <c r="S128" i="1"/>
  <c r="U43" i="1"/>
  <c r="U39" i="1"/>
  <c r="U41" i="1"/>
  <c r="U40" i="1"/>
  <c r="S127" i="1"/>
  <c r="S129" i="1"/>
  <c r="S116" i="1"/>
  <c r="S115" i="1"/>
  <c r="S113" i="1"/>
  <c r="S130" i="1"/>
  <c r="T64" i="1"/>
  <c r="T65" i="1"/>
  <c r="T67" i="1"/>
  <c r="T68" i="1"/>
  <c r="T66" i="1"/>
  <c r="S120" i="1"/>
  <c r="T80" i="1"/>
  <c r="T81" i="1"/>
  <c r="T82" i="1"/>
  <c r="T79" i="1"/>
  <c r="T78" i="1"/>
  <c r="T75" i="1"/>
  <c r="T72" i="1"/>
  <c r="T74" i="1"/>
  <c r="T73" i="1"/>
  <c r="T71" i="1"/>
  <c r="T24" i="1"/>
  <c r="T21" i="1"/>
  <c r="T25" i="1"/>
  <c r="T23" i="1"/>
  <c r="T22" i="1"/>
  <c r="T12" i="1"/>
  <c r="T15" i="1"/>
  <c r="T13" i="1"/>
  <c r="T14" i="1"/>
  <c r="T16" i="1"/>
  <c r="S126" i="1"/>
  <c r="S35" i="1"/>
  <c r="T30" i="1"/>
  <c r="T31" i="1"/>
  <c r="T34" i="1"/>
  <c r="T32" i="1"/>
  <c r="T33" i="1"/>
  <c r="S121" i="1"/>
  <c r="S123" i="1"/>
  <c r="S122" i="1"/>
  <c r="U11" i="1"/>
  <c r="U29" i="1"/>
  <c r="U19" i="1"/>
  <c r="U20" i="1"/>
  <c r="U28" i="1"/>
  <c r="U3" i="1"/>
  <c r="U10" i="1"/>
  <c r="U6" i="1"/>
  <c r="V5" i="1"/>
  <c r="AI150" i="1"/>
  <c r="AI56" i="1"/>
  <c r="AI152" i="1" s="1"/>
  <c r="AI146" i="1"/>
  <c r="S119" i="1"/>
  <c r="S26" i="1"/>
  <c r="S17" i="1"/>
  <c r="S112" i="1"/>
  <c r="R37" i="1"/>
  <c r="S114" i="1"/>
  <c r="R138" i="1"/>
  <c r="R136" i="1"/>
  <c r="R137" i="1"/>
  <c r="R135" i="1"/>
  <c r="Q58" i="1"/>
  <c r="Q140" i="1"/>
  <c r="T139" i="1"/>
  <c r="T92" i="1"/>
  <c r="R44" i="1"/>
  <c r="T220" i="1" l="1"/>
  <c r="U218" i="1"/>
  <c r="V177" i="1"/>
  <c r="V168" i="1"/>
  <c r="V160" i="1"/>
  <c r="V165" i="1"/>
  <c r="V167" i="1"/>
  <c r="V158" i="1"/>
  <c r="V159" i="1"/>
  <c r="V206" i="1"/>
  <c r="V205" i="1"/>
  <c r="V162" i="1"/>
  <c r="V161" i="1"/>
  <c r="V172" i="1"/>
  <c r="V175" i="1"/>
  <c r="V169" i="1"/>
  <c r="V173" i="1"/>
  <c r="V166" i="1"/>
  <c r="V202" i="1"/>
  <c r="V204" i="1"/>
  <c r="V171" i="1"/>
  <c r="V200" i="1"/>
  <c r="V174" i="1"/>
  <c r="V197" i="1"/>
  <c r="V218" i="1" s="1"/>
  <c r="V163" i="1"/>
  <c r="V170" i="1"/>
  <c r="V201" i="1"/>
  <c r="V164" i="1"/>
  <c r="V203" i="1"/>
  <c r="V176" i="1"/>
  <c r="V198" i="1"/>
  <c r="V199" i="1"/>
  <c r="V217" i="1"/>
  <c r="V178" i="1"/>
  <c r="U195" i="1"/>
  <c r="V193" i="1"/>
  <c r="V194" i="1"/>
  <c r="AH6" i="1"/>
  <c r="U179" i="1"/>
  <c r="V89" i="1"/>
  <c r="T54" i="1"/>
  <c r="T148" i="1"/>
  <c r="V42" i="1"/>
  <c r="V53" i="1"/>
  <c r="V49" i="1"/>
  <c r="V47" i="1"/>
  <c r="V143" i="1" s="1"/>
  <c r="V91" i="1"/>
  <c r="T144" i="1"/>
  <c r="T50" i="1"/>
  <c r="T146" i="1" s="1"/>
  <c r="S150" i="1"/>
  <c r="S56" i="1"/>
  <c r="S152" i="1" s="1"/>
  <c r="U145" i="1"/>
  <c r="U48" i="1"/>
  <c r="V87" i="1"/>
  <c r="V88" i="1"/>
  <c r="U149" i="1"/>
  <c r="U52" i="1"/>
  <c r="V90" i="1"/>
  <c r="V40" i="1"/>
  <c r="V39" i="1"/>
  <c r="V43" i="1"/>
  <c r="V41" i="1"/>
  <c r="T122" i="1"/>
  <c r="T123" i="1"/>
  <c r="T119" i="1"/>
  <c r="T121" i="1"/>
  <c r="T127" i="1"/>
  <c r="U81" i="1"/>
  <c r="U82" i="1"/>
  <c r="U79" i="1"/>
  <c r="U78" i="1"/>
  <c r="U80" i="1"/>
  <c r="U72" i="1"/>
  <c r="U74" i="1"/>
  <c r="U71" i="1"/>
  <c r="U75" i="1"/>
  <c r="U73" i="1"/>
  <c r="T115" i="1"/>
  <c r="U65" i="1"/>
  <c r="U66" i="1"/>
  <c r="U67" i="1"/>
  <c r="U68" i="1"/>
  <c r="U64" i="1"/>
  <c r="T129" i="1"/>
  <c r="T120" i="1"/>
  <c r="U24" i="1"/>
  <c r="U21" i="1"/>
  <c r="U25" i="1"/>
  <c r="U22" i="1"/>
  <c r="U23" i="1"/>
  <c r="U31" i="1"/>
  <c r="U34" i="1"/>
  <c r="U32" i="1"/>
  <c r="U33" i="1"/>
  <c r="U30" i="1"/>
  <c r="T130" i="1"/>
  <c r="T126" i="1"/>
  <c r="T35" i="1"/>
  <c r="T128" i="1"/>
  <c r="U12" i="1"/>
  <c r="U13" i="1"/>
  <c r="U15" i="1"/>
  <c r="U14" i="1"/>
  <c r="U16" i="1"/>
  <c r="T26" i="1"/>
  <c r="S37" i="1"/>
  <c r="V11" i="1"/>
  <c r="V20" i="1"/>
  <c r="V29" i="1"/>
  <c r="V19" i="1"/>
  <c r="V28" i="1"/>
  <c r="V6" i="1"/>
  <c r="V3" i="1"/>
  <c r="W5" i="1"/>
  <c r="V10" i="1"/>
  <c r="T112" i="1"/>
  <c r="T17" i="1"/>
  <c r="T114" i="1"/>
  <c r="T113" i="1"/>
  <c r="T116" i="1"/>
  <c r="S138" i="1"/>
  <c r="S136" i="1"/>
  <c r="S137" i="1"/>
  <c r="S135" i="1"/>
  <c r="U139" i="1"/>
  <c r="R58" i="1"/>
  <c r="R140" i="1"/>
  <c r="U92" i="1"/>
  <c r="S44" i="1"/>
  <c r="U220" i="1" l="1"/>
  <c r="W205" i="1"/>
  <c r="W206" i="1"/>
  <c r="W164" i="1"/>
  <c r="W204" i="1"/>
  <c r="W201" i="1"/>
  <c r="W202" i="1"/>
  <c r="W165" i="1"/>
  <c r="W199" i="1"/>
  <c r="W168" i="1"/>
  <c r="W158" i="1"/>
  <c r="W174" i="1"/>
  <c r="W200" i="1"/>
  <c r="W167" i="1"/>
  <c r="W159" i="1"/>
  <c r="W217" i="1"/>
  <c r="W203" i="1"/>
  <c r="W162" i="1"/>
  <c r="W176" i="1"/>
  <c r="W198" i="1"/>
  <c r="W175" i="1"/>
  <c r="W166" i="1"/>
  <c r="W160" i="1"/>
  <c r="W169" i="1"/>
  <c r="W171" i="1"/>
  <c r="W161" i="1"/>
  <c r="W170" i="1"/>
  <c r="W178" i="1"/>
  <c r="W197" i="1"/>
  <c r="W173" i="1"/>
  <c r="W163" i="1"/>
  <c r="W177" i="1"/>
  <c r="W172" i="1"/>
  <c r="V195" i="1"/>
  <c r="V179" i="1"/>
  <c r="W193" i="1"/>
  <c r="W194" i="1"/>
  <c r="W91" i="1"/>
  <c r="W90" i="1"/>
  <c r="W88" i="1"/>
  <c r="V149" i="1"/>
  <c r="V52" i="1"/>
  <c r="W42" i="1"/>
  <c r="W53" i="1"/>
  <c r="W49" i="1"/>
  <c r="W47" i="1"/>
  <c r="W143" i="1" s="1"/>
  <c r="W87" i="1"/>
  <c r="X90" i="1"/>
  <c r="U144" i="1"/>
  <c r="U50" i="1"/>
  <c r="U146" i="1" s="1"/>
  <c r="U54" i="1"/>
  <c r="U148" i="1"/>
  <c r="V145" i="1"/>
  <c r="V48" i="1"/>
  <c r="T150" i="1"/>
  <c r="T56" i="1"/>
  <c r="T152" i="1" s="1"/>
  <c r="W89" i="1"/>
  <c r="W39" i="1"/>
  <c r="W43" i="1"/>
  <c r="W40" i="1"/>
  <c r="X40" i="1" s="1"/>
  <c r="W41" i="1"/>
  <c r="U119" i="1"/>
  <c r="U129" i="1"/>
  <c r="U122" i="1"/>
  <c r="U123" i="1"/>
  <c r="U130" i="1"/>
  <c r="V72" i="1"/>
  <c r="V74" i="1"/>
  <c r="V71" i="1"/>
  <c r="V75" i="1"/>
  <c r="V73" i="1"/>
  <c r="V66" i="1"/>
  <c r="V67" i="1"/>
  <c r="V65" i="1"/>
  <c r="V68" i="1"/>
  <c r="V64" i="1"/>
  <c r="U128" i="1"/>
  <c r="U114" i="1"/>
  <c r="U115" i="1"/>
  <c r="V82" i="1"/>
  <c r="V79" i="1"/>
  <c r="V81" i="1"/>
  <c r="V78" i="1"/>
  <c r="V80" i="1"/>
  <c r="U113" i="1"/>
  <c r="V23" i="1"/>
  <c r="V25" i="1"/>
  <c r="V22" i="1"/>
  <c r="V21" i="1"/>
  <c r="V24" i="1"/>
  <c r="U126" i="1"/>
  <c r="U35" i="1"/>
  <c r="V12" i="1"/>
  <c r="V15" i="1"/>
  <c r="V13" i="1"/>
  <c r="V16" i="1"/>
  <c r="V14" i="1"/>
  <c r="V31" i="1"/>
  <c r="V34" i="1"/>
  <c r="V32" i="1"/>
  <c r="V33" i="1"/>
  <c r="V30" i="1"/>
  <c r="U127" i="1"/>
  <c r="T37" i="1"/>
  <c r="U121" i="1"/>
  <c r="U120" i="1"/>
  <c r="U26" i="1"/>
  <c r="U17" i="1"/>
  <c r="U112" i="1"/>
  <c r="U116" i="1"/>
  <c r="W20" i="1"/>
  <c r="W11" i="1"/>
  <c r="W29" i="1"/>
  <c r="W19" i="1"/>
  <c r="W28" i="1"/>
  <c r="W3" i="1"/>
  <c r="X5" i="1"/>
  <c r="W6" i="1"/>
  <c r="W10" i="1"/>
  <c r="T136" i="1"/>
  <c r="T138" i="1"/>
  <c r="T137" i="1"/>
  <c r="V139" i="1"/>
  <c r="S58" i="1"/>
  <c r="S140" i="1"/>
  <c r="T135" i="1"/>
  <c r="V92" i="1"/>
  <c r="T44" i="1"/>
  <c r="V220" i="1" l="1"/>
  <c r="X165" i="1"/>
  <c r="X205" i="1"/>
  <c r="X199" i="1"/>
  <c r="X167" i="1"/>
  <c r="X175" i="1"/>
  <c r="X201" i="1"/>
  <c r="X206" i="1"/>
  <c r="X166" i="1"/>
  <c r="X160" i="1"/>
  <c r="X169" i="1"/>
  <c r="X171" i="1"/>
  <c r="X168" i="1"/>
  <c r="X158" i="1"/>
  <c r="X162" i="1"/>
  <c r="X161" i="1"/>
  <c r="X217" i="1"/>
  <c r="X170" i="1"/>
  <c r="X200" i="1"/>
  <c r="X198" i="1"/>
  <c r="X177" i="1"/>
  <c r="X203" i="1"/>
  <c r="X159" i="1"/>
  <c r="X176" i="1"/>
  <c r="X178" i="1"/>
  <c r="X202" i="1"/>
  <c r="X204" i="1"/>
  <c r="X173" i="1"/>
  <c r="X163" i="1"/>
  <c r="X197" i="1"/>
  <c r="X172" i="1"/>
  <c r="X164" i="1"/>
  <c r="X174" i="1"/>
  <c r="W218" i="1"/>
  <c r="W195" i="1"/>
  <c r="X91" i="1"/>
  <c r="X193" i="1"/>
  <c r="X194" i="1"/>
  <c r="W179" i="1"/>
  <c r="X41" i="1"/>
  <c r="X43" i="1"/>
  <c r="X87" i="1"/>
  <c r="X39" i="1"/>
  <c r="X89" i="1"/>
  <c r="W145" i="1"/>
  <c r="W48" i="1"/>
  <c r="W149" i="1"/>
  <c r="W52" i="1"/>
  <c r="V144" i="1"/>
  <c r="V50" i="1"/>
  <c r="V146" i="1" s="1"/>
  <c r="V54" i="1"/>
  <c r="V148" i="1"/>
  <c r="X42" i="1"/>
  <c r="X53" i="1"/>
  <c r="X49" i="1"/>
  <c r="X47" i="1"/>
  <c r="X143" i="1" s="1"/>
  <c r="U150" i="1"/>
  <c r="U56" i="1"/>
  <c r="U152" i="1" s="1"/>
  <c r="X88" i="1"/>
  <c r="V114" i="1"/>
  <c r="V119" i="1"/>
  <c r="V123" i="1"/>
  <c r="V127" i="1"/>
  <c r="V121" i="1"/>
  <c r="V116" i="1"/>
  <c r="V113" i="1"/>
  <c r="V115" i="1"/>
  <c r="W81" i="1"/>
  <c r="W78" i="1"/>
  <c r="W80" i="1"/>
  <c r="W79" i="1"/>
  <c r="W82" i="1"/>
  <c r="W72" i="1"/>
  <c r="W74" i="1"/>
  <c r="W75" i="1"/>
  <c r="W71" i="1"/>
  <c r="W73" i="1"/>
  <c r="V122" i="1"/>
  <c r="V129" i="1"/>
  <c r="V128" i="1"/>
  <c r="V120" i="1"/>
  <c r="W67" i="1"/>
  <c r="W68" i="1"/>
  <c r="W65" i="1"/>
  <c r="W64" i="1"/>
  <c r="W66" i="1"/>
  <c r="W30" i="1"/>
  <c r="W32" i="1"/>
  <c r="W33" i="1"/>
  <c r="W34" i="1"/>
  <c r="W31" i="1"/>
  <c r="W25" i="1"/>
  <c r="W21" i="1"/>
  <c r="W22" i="1"/>
  <c r="W23" i="1"/>
  <c r="W24" i="1"/>
  <c r="V126" i="1"/>
  <c r="V35" i="1"/>
  <c r="V130" i="1"/>
  <c r="W13" i="1"/>
  <c r="W14" i="1"/>
  <c r="W15" i="1"/>
  <c r="W16" i="1"/>
  <c r="W12" i="1"/>
  <c r="V26" i="1"/>
  <c r="U37" i="1"/>
  <c r="V17" i="1"/>
  <c r="V112" i="1"/>
  <c r="X29" i="1"/>
  <c r="X20" i="1"/>
  <c r="X11" i="1"/>
  <c r="X19" i="1"/>
  <c r="X28" i="1"/>
  <c r="Y5" i="1"/>
  <c r="X10" i="1"/>
  <c r="X3" i="1"/>
  <c r="X6" i="1"/>
  <c r="U138" i="1"/>
  <c r="U136" i="1"/>
  <c r="U137" i="1"/>
  <c r="U135" i="1"/>
  <c r="W139" i="1"/>
  <c r="T58" i="1"/>
  <c r="T140" i="1"/>
  <c r="W92" i="1"/>
  <c r="U44" i="1"/>
  <c r="W220" i="1" l="1"/>
  <c r="X218" i="1"/>
  <c r="Y199" i="1"/>
  <c r="Y198" i="1"/>
  <c r="Y169" i="1"/>
  <c r="Y171" i="1"/>
  <c r="Y177" i="1"/>
  <c r="Y201" i="1"/>
  <c r="Y217" i="1"/>
  <c r="Y170" i="1"/>
  <c r="Y176" i="1"/>
  <c r="Y158" i="1"/>
  <c r="Y172" i="1"/>
  <c r="Y206" i="1"/>
  <c r="Y162" i="1"/>
  <c r="Y161" i="1"/>
  <c r="Y203" i="1"/>
  <c r="Y202" i="1"/>
  <c r="Y173" i="1"/>
  <c r="Y163" i="1"/>
  <c r="Y174" i="1"/>
  <c r="Y159" i="1"/>
  <c r="Y178" i="1"/>
  <c r="Y165" i="1"/>
  <c r="Y164" i="1"/>
  <c r="Y167" i="1"/>
  <c r="Y166" i="1"/>
  <c r="Y168" i="1"/>
  <c r="Y197" i="1"/>
  <c r="Y200" i="1"/>
  <c r="Y175" i="1"/>
  <c r="Y205" i="1"/>
  <c r="Y204" i="1"/>
  <c r="Y160" i="1"/>
  <c r="X179" i="1"/>
  <c r="Y90" i="1"/>
  <c r="Y193" i="1"/>
  <c r="Y194" i="1"/>
  <c r="AI6" i="1"/>
  <c r="X195" i="1"/>
  <c r="Y88" i="1"/>
  <c r="W54" i="1"/>
  <c r="W148" i="1"/>
  <c r="W144" i="1"/>
  <c r="W50" i="1"/>
  <c r="W146" i="1" s="1"/>
  <c r="X145" i="1"/>
  <c r="X48" i="1"/>
  <c r="Y89" i="1"/>
  <c r="X149" i="1"/>
  <c r="X52" i="1"/>
  <c r="Y87" i="1"/>
  <c r="V150" i="1"/>
  <c r="V56" i="1"/>
  <c r="V152" i="1" s="1"/>
  <c r="Y42" i="1"/>
  <c r="Y53" i="1"/>
  <c r="Y49" i="1"/>
  <c r="Y47" i="1"/>
  <c r="Y143" i="1" s="1"/>
  <c r="Y91" i="1"/>
  <c r="Y40" i="1"/>
  <c r="Y39" i="1"/>
  <c r="Y41" i="1"/>
  <c r="Y43" i="1"/>
  <c r="W121" i="1"/>
  <c r="W120" i="1"/>
  <c r="X68" i="1"/>
  <c r="X65" i="1"/>
  <c r="X66" i="1"/>
  <c r="X64" i="1"/>
  <c r="X67" i="1"/>
  <c r="W127" i="1"/>
  <c r="W115" i="1"/>
  <c r="X71" i="1"/>
  <c r="X72" i="1"/>
  <c r="X74" i="1"/>
  <c r="X73" i="1"/>
  <c r="X75" i="1"/>
  <c r="W129" i="1"/>
  <c r="W113" i="1"/>
  <c r="W123" i="1"/>
  <c r="X81" i="1"/>
  <c r="X78" i="1"/>
  <c r="X80" i="1"/>
  <c r="X79" i="1"/>
  <c r="X82" i="1"/>
  <c r="W128" i="1"/>
  <c r="V37" i="1"/>
  <c r="W130" i="1"/>
  <c r="X13" i="1"/>
  <c r="X14" i="1"/>
  <c r="X16" i="1"/>
  <c r="X15" i="1"/>
  <c r="X12" i="1"/>
  <c r="X32" i="1"/>
  <c r="X33" i="1"/>
  <c r="X30" i="1"/>
  <c r="X34" i="1"/>
  <c r="X31" i="1"/>
  <c r="X24" i="1"/>
  <c r="X21" i="1"/>
  <c r="X22" i="1"/>
  <c r="X23" i="1"/>
  <c r="X25" i="1"/>
  <c r="W126" i="1"/>
  <c r="W35" i="1"/>
  <c r="W122" i="1"/>
  <c r="W119" i="1"/>
  <c r="W26" i="1"/>
  <c r="W114" i="1"/>
  <c r="W116" i="1"/>
  <c r="W112" i="1"/>
  <c r="W17" i="1"/>
  <c r="Y11" i="1"/>
  <c r="Y29" i="1"/>
  <c r="Y20" i="1"/>
  <c r="Y19" i="1"/>
  <c r="Y28" i="1"/>
  <c r="Y3" i="1"/>
  <c r="Y6" i="1"/>
  <c r="Y10" i="1"/>
  <c r="Z5" i="1"/>
  <c r="V136" i="1"/>
  <c r="V138" i="1"/>
  <c r="V137" i="1"/>
  <c r="X139" i="1"/>
  <c r="U58" i="1"/>
  <c r="U140" i="1"/>
  <c r="V135" i="1"/>
  <c r="X92" i="1"/>
  <c r="V44" i="1"/>
  <c r="X220" i="1" l="1"/>
  <c r="Z199" i="1"/>
  <c r="AJ199" i="1" s="1"/>
  <c r="Z177" i="1"/>
  <c r="AJ177" i="1" s="1"/>
  <c r="Z165" i="1"/>
  <c r="AJ165" i="1" s="1"/>
  <c r="Z168" i="1"/>
  <c r="Z203" i="1"/>
  <c r="AJ203" i="1" s="1"/>
  <c r="Z173" i="1"/>
  <c r="AJ173" i="1" s="1"/>
  <c r="Z163" i="1"/>
  <c r="AJ163" i="1" s="1"/>
  <c r="Z204" i="1"/>
  <c r="AJ204" i="1" s="1"/>
  <c r="Z206" i="1"/>
  <c r="AJ206" i="1" s="1"/>
  <c r="Z201" i="1"/>
  <c r="AJ201" i="1" s="1"/>
  <c r="Z175" i="1"/>
  <c r="AJ175" i="1" s="1"/>
  <c r="Z217" i="1"/>
  <c r="AJ217" i="1" s="1"/>
  <c r="Z172" i="1"/>
  <c r="AJ172" i="1" s="1"/>
  <c r="Z164" i="1"/>
  <c r="Z174" i="1"/>
  <c r="AJ174" i="1" s="1"/>
  <c r="Z159" i="1"/>
  <c r="Z205" i="1"/>
  <c r="AJ205" i="1" s="1"/>
  <c r="Z166" i="1"/>
  <c r="Z176" i="1"/>
  <c r="AJ176" i="1" s="1"/>
  <c r="Z178" i="1"/>
  <c r="AJ178" i="1" s="1"/>
  <c r="Z158" i="1"/>
  <c r="Z167" i="1"/>
  <c r="AJ167" i="1" s="1"/>
  <c r="Z197" i="1"/>
  <c r="Z200" i="1"/>
  <c r="AJ200" i="1" s="1"/>
  <c r="Z161" i="1"/>
  <c r="Z202" i="1"/>
  <c r="AJ202" i="1" s="1"/>
  <c r="Z160" i="1"/>
  <c r="AJ160" i="1" s="1"/>
  <c r="Z162" i="1"/>
  <c r="AJ162" i="1" s="1"/>
  <c r="Z169" i="1"/>
  <c r="Z170" i="1"/>
  <c r="AJ170" i="1" s="1"/>
  <c r="Z171" i="1"/>
  <c r="AJ171" i="1" s="1"/>
  <c r="Z198" i="1"/>
  <c r="AJ198" i="1" s="1"/>
  <c r="Y218" i="1"/>
  <c r="Y195" i="1"/>
  <c r="Z87" i="1"/>
  <c r="Z43" i="1"/>
  <c r="Y179" i="1"/>
  <c r="Z88" i="1"/>
  <c r="AJ88" i="1" s="1"/>
  <c r="Z193" i="1"/>
  <c r="AJ168" i="1"/>
  <c r="AJ159" i="1"/>
  <c r="AJ161" i="1"/>
  <c r="AJ166" i="1"/>
  <c r="AJ164" i="1"/>
  <c r="AJ169" i="1"/>
  <c r="Z194" i="1"/>
  <c r="AJ194" i="1" s="1"/>
  <c r="Z41" i="1"/>
  <c r="X148" i="1"/>
  <c r="X54" i="1"/>
  <c r="Z89" i="1"/>
  <c r="AJ89" i="1" s="1"/>
  <c r="Z91" i="1"/>
  <c r="AJ91" i="1" s="1"/>
  <c r="Y145" i="1"/>
  <c r="Y48" i="1"/>
  <c r="Y149" i="1"/>
  <c r="Y52" i="1"/>
  <c r="X144" i="1"/>
  <c r="X50" i="1"/>
  <c r="X146" i="1" s="1"/>
  <c r="W150" i="1"/>
  <c r="W56" i="1"/>
  <c r="W152" i="1" s="1"/>
  <c r="Z42" i="1"/>
  <c r="Z53" i="1"/>
  <c r="Z49" i="1"/>
  <c r="Z47" i="1"/>
  <c r="Z143" i="1" s="1"/>
  <c r="Z90" i="1"/>
  <c r="Z39" i="1"/>
  <c r="Z40" i="1"/>
  <c r="X119" i="1"/>
  <c r="X127" i="1"/>
  <c r="X128" i="1"/>
  <c r="X115" i="1"/>
  <c r="X116" i="1"/>
  <c r="X130" i="1"/>
  <c r="X120" i="1"/>
  <c r="Y71" i="1"/>
  <c r="Y72" i="1"/>
  <c r="Y73" i="1"/>
  <c r="Y74" i="1"/>
  <c r="Y75" i="1"/>
  <c r="X114" i="1"/>
  <c r="Y65" i="1"/>
  <c r="Y68" i="1"/>
  <c r="Y66" i="1"/>
  <c r="Y67" i="1"/>
  <c r="Y64" i="1"/>
  <c r="X129" i="1"/>
  <c r="Y78" i="1"/>
  <c r="Y80" i="1"/>
  <c r="Y82" i="1"/>
  <c r="Y79" i="1"/>
  <c r="Y81" i="1"/>
  <c r="X113" i="1"/>
  <c r="X122" i="1"/>
  <c r="Y14" i="1"/>
  <c r="Y15" i="1"/>
  <c r="Y16" i="1"/>
  <c r="Y13" i="1"/>
  <c r="Y12" i="1"/>
  <c r="Y33" i="1"/>
  <c r="Y34" i="1"/>
  <c r="Y30" i="1"/>
  <c r="Y31" i="1"/>
  <c r="Y32" i="1"/>
  <c r="X126" i="1"/>
  <c r="X35" i="1"/>
  <c r="Y21" i="1"/>
  <c r="Y24" i="1"/>
  <c r="Y22" i="1"/>
  <c r="Y23" i="1"/>
  <c r="Y25" i="1"/>
  <c r="X121" i="1"/>
  <c r="X123" i="1"/>
  <c r="X26" i="1"/>
  <c r="W37" i="1"/>
  <c r="X17" i="1"/>
  <c r="X112" i="1"/>
  <c r="Z29" i="1"/>
  <c r="Z20" i="1"/>
  <c r="Z11" i="1"/>
  <c r="Z19" i="1"/>
  <c r="Z28" i="1"/>
  <c r="Z10" i="1"/>
  <c r="Z3" i="1"/>
  <c r="Z6" i="1"/>
  <c r="AG41" i="1" s="1"/>
  <c r="W138" i="1"/>
  <c r="W136" i="1"/>
  <c r="W137" i="1"/>
  <c r="V58" i="1"/>
  <c r="V140" i="1"/>
  <c r="W135" i="1"/>
  <c r="Y139" i="1"/>
  <c r="Y92" i="1"/>
  <c r="W44" i="1"/>
  <c r="Y220" i="1" l="1"/>
  <c r="AG39" i="1"/>
  <c r="AI87" i="1"/>
  <c r="AG12" i="1"/>
  <c r="AG40" i="1"/>
  <c r="AH12" i="1"/>
  <c r="Z218" i="1"/>
  <c r="AJ197" i="1"/>
  <c r="AI177" i="1"/>
  <c r="AH169" i="1"/>
  <c r="AI166" i="1"/>
  <c r="Z195" i="1"/>
  <c r="AJ193" i="1"/>
  <c r="AF172" i="1"/>
  <c r="AI90" i="1"/>
  <c r="AG173" i="1"/>
  <c r="AG158" i="1"/>
  <c r="AG168" i="1"/>
  <c r="AG162" i="1"/>
  <c r="AG170" i="1"/>
  <c r="AH212" i="1"/>
  <c r="AF216" i="1"/>
  <c r="AH164" i="1"/>
  <c r="AG208" i="1"/>
  <c r="AG165" i="1"/>
  <c r="AF209" i="1"/>
  <c r="AF205" i="1"/>
  <c r="AF174" i="1"/>
  <c r="AF168" i="1"/>
  <c r="AG175" i="1"/>
  <c r="AF212" i="1"/>
  <c r="AH194" i="1"/>
  <c r="AF208" i="1"/>
  <c r="AF162" i="1"/>
  <c r="AF160" i="1"/>
  <c r="AF204" i="1"/>
  <c r="AF194" i="1"/>
  <c r="AG176" i="1"/>
  <c r="AF163" i="1"/>
  <c r="AF171" i="1"/>
  <c r="AG205" i="1"/>
  <c r="AG160" i="1"/>
  <c r="AI159" i="1"/>
  <c r="AF217" i="1"/>
  <c r="AF169" i="1"/>
  <c r="AG172" i="1"/>
  <c r="AF213" i="1"/>
  <c r="AF198" i="1"/>
  <c r="AG193" i="1"/>
  <c r="AF202" i="1"/>
  <c r="AH203" i="1"/>
  <c r="AF206" i="1"/>
  <c r="AF159" i="1"/>
  <c r="AI165" i="1"/>
  <c r="AH217" i="1"/>
  <c r="AF158" i="1"/>
  <c r="AF207" i="1"/>
  <c r="AG217" i="1"/>
  <c r="AG206" i="1"/>
  <c r="AH171" i="1"/>
  <c r="AG216" i="1"/>
  <c r="AF214" i="1"/>
  <c r="AF170" i="1"/>
  <c r="AF197" i="1"/>
  <c r="AG209" i="1"/>
  <c r="AF164" i="1"/>
  <c r="AG198" i="1"/>
  <c r="AG163" i="1"/>
  <c r="AH209" i="1"/>
  <c r="AF176" i="1"/>
  <c r="AF215" i="1"/>
  <c r="AF177" i="1"/>
  <c r="AH163" i="1"/>
  <c r="AI202" i="1"/>
  <c r="AG167" i="1"/>
  <c r="AG197" i="1"/>
  <c r="AG212" i="1"/>
  <c r="AH193" i="1"/>
  <c r="AI213" i="1"/>
  <c r="AG171" i="1"/>
  <c r="AG210" i="1"/>
  <c r="AG211" i="1"/>
  <c r="AF165" i="1"/>
  <c r="AH216" i="1"/>
  <c r="AG200" i="1"/>
  <c r="AG202" i="1"/>
  <c r="AH210" i="1"/>
  <c r="AI158" i="1"/>
  <c r="AH199" i="1"/>
  <c r="AI205" i="1"/>
  <c r="AF210" i="1"/>
  <c r="AG164" i="1"/>
  <c r="AF193" i="1"/>
  <c r="AF161" i="1"/>
  <c r="AF173" i="1"/>
  <c r="AH162" i="1"/>
  <c r="AH213" i="1"/>
  <c r="AG215" i="1"/>
  <c r="AG204" i="1"/>
  <c r="AF203" i="1"/>
  <c r="AG166" i="1"/>
  <c r="AF211" i="1"/>
  <c r="AG201" i="1"/>
  <c r="AH202" i="1"/>
  <c r="AH197" i="1"/>
  <c r="AH206" i="1"/>
  <c r="AF201" i="1"/>
  <c r="AF175" i="1"/>
  <c r="AG159" i="1"/>
  <c r="AG214" i="1"/>
  <c r="AF200" i="1"/>
  <c r="AG213" i="1"/>
  <c r="AH211" i="1"/>
  <c r="AI217" i="1"/>
  <c r="AH170" i="1"/>
  <c r="AG169" i="1"/>
  <c r="AG177" i="1"/>
  <c r="AG199" i="1"/>
  <c r="AG203" i="1"/>
  <c r="AF199" i="1"/>
  <c r="AG207" i="1"/>
  <c r="AH201" i="1"/>
  <c r="AF178" i="1"/>
  <c r="AF166" i="1"/>
  <c r="AI197" i="1"/>
  <c r="AI200" i="1"/>
  <c r="AI208" i="1"/>
  <c r="AH198" i="1"/>
  <c r="AG174" i="1"/>
  <c r="AI178" i="1"/>
  <c r="AI204" i="1"/>
  <c r="AH161" i="1"/>
  <c r="AH165" i="1"/>
  <c r="AH168" i="1"/>
  <c r="AH205" i="1"/>
  <c r="AI176" i="1"/>
  <c r="AI199" i="1"/>
  <c r="AI194" i="1"/>
  <c r="AH166" i="1"/>
  <c r="AI164" i="1"/>
  <c r="AH159" i="1"/>
  <c r="AI203" i="1"/>
  <c r="AI168" i="1"/>
  <c r="AI207" i="1"/>
  <c r="AI172" i="1"/>
  <c r="AH176" i="1"/>
  <c r="AI211" i="1"/>
  <c r="AI201" i="1"/>
  <c r="AI215" i="1"/>
  <c r="AI167" i="1"/>
  <c r="AI174" i="1"/>
  <c r="AI212" i="1"/>
  <c r="AH215" i="1"/>
  <c r="AG194" i="1"/>
  <c r="AH214" i="1"/>
  <c r="AH158" i="1"/>
  <c r="AH174" i="1"/>
  <c r="AI216" i="1"/>
  <c r="AI170" i="1"/>
  <c r="AH204" i="1"/>
  <c r="AI175" i="1"/>
  <c r="AH207" i="1"/>
  <c r="AH177" i="1"/>
  <c r="AI162" i="1"/>
  <c r="AH178" i="1"/>
  <c r="AI214" i="1"/>
  <c r="AI206" i="1"/>
  <c r="AI163" i="1"/>
  <c r="AH173" i="1"/>
  <c r="AH167" i="1"/>
  <c r="AI169" i="1"/>
  <c r="AH160" i="1"/>
  <c r="AG178" i="1"/>
  <c r="AI210" i="1"/>
  <c r="AH172" i="1"/>
  <c r="AG161" i="1"/>
  <c r="AI161" i="1"/>
  <c r="AI209" i="1"/>
  <c r="AI198" i="1"/>
  <c r="AF167" i="1"/>
  <c r="AH208" i="1"/>
  <c r="AI193" i="1"/>
  <c r="AH175" i="1"/>
  <c r="AI160" i="1"/>
  <c r="AI173" i="1"/>
  <c r="AH200" i="1"/>
  <c r="Z179" i="1"/>
  <c r="AJ158" i="1"/>
  <c r="AI171" i="1"/>
  <c r="Y54" i="1"/>
  <c r="Y148" i="1"/>
  <c r="Y144" i="1"/>
  <c r="Y50" i="1"/>
  <c r="Y146" i="1" s="1"/>
  <c r="AH43" i="1"/>
  <c r="Z145" i="1"/>
  <c r="Z48" i="1"/>
  <c r="Z149" i="1"/>
  <c r="Z52" i="1"/>
  <c r="X150" i="1"/>
  <c r="X56" i="1"/>
  <c r="X152" i="1" s="1"/>
  <c r="AH21" i="1"/>
  <c r="AI43" i="1"/>
  <c r="AG88" i="1"/>
  <c r="Y115" i="1"/>
  <c r="Y128" i="1"/>
  <c r="Y127" i="1"/>
  <c r="Y130" i="1"/>
  <c r="Y121" i="1"/>
  <c r="Y120" i="1"/>
  <c r="AG23" i="1"/>
  <c r="AG24" i="1"/>
  <c r="Y113" i="1"/>
  <c r="AG43" i="1"/>
  <c r="Z68" i="1"/>
  <c r="Z66" i="1"/>
  <c r="Z67" i="1"/>
  <c r="Z64" i="1"/>
  <c r="Z65" i="1"/>
  <c r="Z72" i="1"/>
  <c r="Z73" i="1"/>
  <c r="Z74" i="1"/>
  <c r="Z75" i="1"/>
  <c r="Z71" i="1"/>
  <c r="Y123" i="1"/>
  <c r="Y129" i="1"/>
  <c r="Z78" i="1"/>
  <c r="Z80" i="1"/>
  <c r="Z82" i="1"/>
  <c r="Z81" i="1"/>
  <c r="Z79" i="1"/>
  <c r="Y114" i="1"/>
  <c r="AF91" i="1"/>
  <c r="AG91" i="1"/>
  <c r="AH91" i="1"/>
  <c r="AI91" i="1"/>
  <c r="AI89" i="1"/>
  <c r="AG34" i="1"/>
  <c r="AH34" i="1"/>
  <c r="AG25" i="1"/>
  <c r="AH23" i="1"/>
  <c r="AH40" i="1"/>
  <c r="AH24" i="1"/>
  <c r="AH30" i="1"/>
  <c r="Z21" i="1"/>
  <c r="AI21" i="1" s="1"/>
  <c r="Z22" i="1"/>
  <c r="AF22" i="1" s="1"/>
  <c r="Z24" i="1"/>
  <c r="AI24" i="1" s="1"/>
  <c r="Z25" i="1"/>
  <c r="AI25" i="1" s="1"/>
  <c r="Z23" i="1"/>
  <c r="AI23" i="1" s="1"/>
  <c r="Y126" i="1"/>
  <c r="Y35" i="1"/>
  <c r="Z14" i="1"/>
  <c r="AF14" i="1" s="1"/>
  <c r="Z15" i="1"/>
  <c r="Z16" i="1"/>
  <c r="AF16" i="1" s="1"/>
  <c r="Z12" i="1"/>
  <c r="AI12" i="1" s="1"/>
  <c r="Z13" i="1"/>
  <c r="AI13" i="1" s="1"/>
  <c r="Z33" i="1"/>
  <c r="AI33" i="1" s="1"/>
  <c r="Z30" i="1"/>
  <c r="AI30" i="1" s="1"/>
  <c r="Z31" i="1"/>
  <c r="AF31" i="1" s="1"/>
  <c r="Z34" i="1"/>
  <c r="AI34" i="1" s="1"/>
  <c r="Z32" i="1"/>
  <c r="AF32" i="1" s="1"/>
  <c r="AH25" i="1"/>
  <c r="Y122" i="1"/>
  <c r="X37" i="1"/>
  <c r="AH42" i="1"/>
  <c r="AG87" i="1"/>
  <c r="AH22" i="1"/>
  <c r="AH15" i="1"/>
  <c r="AG13" i="1"/>
  <c r="AG33" i="1"/>
  <c r="AF89" i="1"/>
  <c r="AH32" i="1"/>
  <c r="AG89" i="1"/>
  <c r="AG137" i="1" s="1"/>
  <c r="AG32" i="1"/>
  <c r="AG15" i="1"/>
  <c r="AH41" i="1"/>
  <c r="AG16" i="1"/>
  <c r="AF88" i="1"/>
  <c r="AH33" i="1"/>
  <c r="AH39" i="1"/>
  <c r="AG31" i="1"/>
  <c r="AG22" i="1"/>
  <c r="AG30" i="1"/>
  <c r="AH90" i="1"/>
  <c r="AH16" i="1"/>
  <c r="AG90" i="1"/>
  <c r="AI14" i="1"/>
  <c r="Y119" i="1"/>
  <c r="Y26" i="1"/>
  <c r="AG14" i="1"/>
  <c r="AH89" i="1"/>
  <c r="AI88" i="1"/>
  <c r="AG21" i="1"/>
  <c r="AH88" i="1"/>
  <c r="AG42" i="1"/>
  <c r="Y17" i="1"/>
  <c r="Y112" i="1"/>
  <c r="AH87" i="1"/>
  <c r="AH31" i="1"/>
  <c r="Y116" i="1"/>
  <c r="AI40" i="1"/>
  <c r="X136" i="1"/>
  <c r="X138" i="1"/>
  <c r="X137" i="1"/>
  <c r="AF90" i="1"/>
  <c r="AJ90" i="1"/>
  <c r="Z139" i="1"/>
  <c r="AF43" i="1"/>
  <c r="AJ43" i="1"/>
  <c r="W58" i="1"/>
  <c r="W140" i="1"/>
  <c r="X135" i="1"/>
  <c r="Z92" i="1"/>
  <c r="AF87" i="1"/>
  <c r="AJ87" i="1"/>
  <c r="X44" i="1"/>
  <c r="AG136" i="1" l="1"/>
  <c r="AJ218" i="1"/>
  <c r="Z220" i="1"/>
  <c r="AI195" i="1"/>
  <c r="AG195" i="1"/>
  <c r="AJ195" i="1"/>
  <c r="AI218" i="1"/>
  <c r="AI179" i="1"/>
  <c r="AJ179" i="1"/>
  <c r="AH179" i="1"/>
  <c r="AF195" i="1"/>
  <c r="AH218" i="1"/>
  <c r="AF179" i="1"/>
  <c r="AH195" i="1"/>
  <c r="AG179" i="1"/>
  <c r="AG218" i="1"/>
  <c r="AF218" i="1"/>
  <c r="AI139" i="1"/>
  <c r="AH139" i="1"/>
  <c r="Z54" i="1"/>
  <c r="Z148" i="1"/>
  <c r="Z144" i="1"/>
  <c r="Z50" i="1"/>
  <c r="Z146" i="1" s="1"/>
  <c r="Y150" i="1"/>
  <c r="Y56" i="1"/>
  <c r="Y152" i="1" s="1"/>
  <c r="AG139" i="1"/>
  <c r="AI16" i="1"/>
  <c r="AI32" i="1"/>
  <c r="AF139" i="1"/>
  <c r="AI22" i="1"/>
  <c r="AI26" i="1" s="1"/>
  <c r="AI31" i="1"/>
  <c r="AJ139" i="1"/>
  <c r="AI92" i="1"/>
  <c r="AH136" i="1"/>
  <c r="AI136" i="1"/>
  <c r="Z26" i="1"/>
  <c r="AJ26" i="1" s="1"/>
  <c r="Z129" i="1"/>
  <c r="AJ33" i="1"/>
  <c r="AF21" i="1"/>
  <c r="AH26" i="1"/>
  <c r="Z128" i="1"/>
  <c r="AJ32" i="1"/>
  <c r="Z130" i="1"/>
  <c r="AJ34" i="1"/>
  <c r="AF33" i="1"/>
  <c r="Z127" i="1"/>
  <c r="AJ31" i="1"/>
  <c r="AF34" i="1"/>
  <c r="Z126" i="1"/>
  <c r="Z35" i="1"/>
  <c r="AJ35" i="1" s="1"/>
  <c r="AJ30" i="1"/>
  <c r="AF30" i="1"/>
  <c r="AJ21" i="1"/>
  <c r="Z119" i="1"/>
  <c r="Z120" i="1"/>
  <c r="AJ22" i="1"/>
  <c r="Z121" i="1"/>
  <c r="AF23" i="1"/>
  <c r="AJ23" i="1"/>
  <c r="Z122" i="1"/>
  <c r="AF24" i="1"/>
  <c r="AJ24" i="1"/>
  <c r="Z123" i="1"/>
  <c r="AF25" i="1"/>
  <c r="AJ25" i="1"/>
  <c r="AH138" i="1"/>
  <c r="AG138" i="1"/>
  <c r="AG92" i="1"/>
  <c r="Y37" i="1"/>
  <c r="AJ15" i="1"/>
  <c r="AI15" i="1"/>
  <c r="Z115" i="1"/>
  <c r="AG35" i="1"/>
  <c r="AH13" i="1"/>
  <c r="AJ13" i="1"/>
  <c r="Z113" i="1"/>
  <c r="AH44" i="1"/>
  <c r="AH135" i="1"/>
  <c r="AG135" i="1"/>
  <c r="AG26" i="1"/>
  <c r="AF13" i="1"/>
  <c r="AG44" i="1"/>
  <c r="Z116" i="1"/>
  <c r="AJ16" i="1"/>
  <c r="AH14" i="1"/>
  <c r="Z114" i="1"/>
  <c r="AJ14" i="1"/>
  <c r="AG17" i="1"/>
  <c r="Z17" i="1"/>
  <c r="Z112" i="1"/>
  <c r="AJ12" i="1"/>
  <c r="AF12" i="1"/>
  <c r="AH137" i="1"/>
  <c r="AH35" i="1"/>
  <c r="AF15" i="1"/>
  <c r="AH92" i="1"/>
  <c r="AI42" i="1"/>
  <c r="AI138" i="1" s="1"/>
  <c r="Y138" i="1"/>
  <c r="AJ40" i="1"/>
  <c r="Y136" i="1"/>
  <c r="AF92" i="1"/>
  <c r="AI41" i="1"/>
  <c r="AI137" i="1" s="1"/>
  <c r="AJ41" i="1"/>
  <c r="Y137" i="1"/>
  <c r="Z135" i="1"/>
  <c r="Y135" i="1"/>
  <c r="X58" i="1"/>
  <c r="X140" i="1"/>
  <c r="AJ92" i="1"/>
  <c r="Y44" i="1"/>
  <c r="AI39" i="1"/>
  <c r="AH220" i="1" l="1"/>
  <c r="AF220" i="1"/>
  <c r="AJ220" i="1"/>
  <c r="AI220" i="1"/>
  <c r="AG220" i="1"/>
  <c r="Z150" i="1"/>
  <c r="Z56" i="1"/>
  <c r="Z152" i="1" s="1"/>
  <c r="AI17" i="1"/>
  <c r="AI35" i="1"/>
  <c r="Z37" i="1"/>
  <c r="AJ136" i="1"/>
  <c r="AJ137" i="1"/>
  <c r="AF35" i="1"/>
  <c r="AG140" i="1"/>
  <c r="AF26" i="1"/>
  <c r="AH17" i="1"/>
  <c r="AH37" i="1" s="1"/>
  <c r="AH58" i="1" s="1"/>
  <c r="AF17" i="1"/>
  <c r="AJ17" i="1"/>
  <c r="AH140" i="1"/>
  <c r="AG37" i="1"/>
  <c r="AG58" i="1" s="1"/>
  <c r="Z136" i="1"/>
  <c r="AF40" i="1"/>
  <c r="AF136" i="1" s="1"/>
  <c r="AF42" i="1"/>
  <c r="AF138" i="1" s="1"/>
  <c r="AJ42" i="1"/>
  <c r="Z138" i="1"/>
  <c r="Z137" i="1"/>
  <c r="AF41" i="1"/>
  <c r="AF137" i="1" s="1"/>
  <c r="AJ39" i="1"/>
  <c r="AI44" i="1"/>
  <c r="AI135" i="1"/>
  <c r="Y58" i="1"/>
  <c r="Y140" i="1"/>
  <c r="AF39" i="1"/>
  <c r="Z44" i="1"/>
  <c r="Z140" i="1" s="1"/>
  <c r="AK220" i="1" l="1"/>
  <c r="AK165" i="1"/>
  <c r="AK171" i="1"/>
  <c r="AK215" i="1"/>
  <c r="AK164" i="1"/>
  <c r="AK166" i="1"/>
  <c r="AK195" i="1"/>
  <c r="AK194" i="1"/>
  <c r="AK173" i="1"/>
  <c r="AK159" i="1"/>
  <c r="AK209" i="1"/>
  <c r="AK193" i="1"/>
  <c r="AK158" i="1"/>
  <c r="AK178" i="1"/>
  <c r="AK216" i="1"/>
  <c r="AK189" i="1"/>
  <c r="AK212" i="1"/>
  <c r="AK188" i="1"/>
  <c r="AK185" i="1"/>
  <c r="AK181" i="1"/>
  <c r="AK190" i="1"/>
  <c r="AK184" i="1"/>
  <c r="AK210" i="1"/>
  <c r="AK183" i="1"/>
  <c r="AK169" i="1"/>
  <c r="AK175" i="1"/>
  <c r="AK167" i="1"/>
  <c r="AK176" i="1"/>
  <c r="AK170" i="1"/>
  <c r="AK214" i="1"/>
  <c r="AK208" i="1"/>
  <c r="AK174" i="1"/>
  <c r="AK162" i="1"/>
  <c r="AK213" i="1"/>
  <c r="AK177" i="1"/>
  <c r="AK161" i="1"/>
  <c r="AK163" i="1"/>
  <c r="AK182" i="1"/>
  <c r="AK211" i="1"/>
  <c r="AK160" i="1"/>
  <c r="AK187" i="1"/>
  <c r="AK168" i="1"/>
  <c r="AK207" i="1"/>
  <c r="AK191" i="1"/>
  <c r="AK172" i="1"/>
  <c r="AK186" i="1"/>
  <c r="AK206" i="1"/>
  <c r="AK204" i="1"/>
  <c r="AK198" i="1"/>
  <c r="AK202" i="1"/>
  <c r="AK205" i="1"/>
  <c r="AK199" i="1"/>
  <c r="AK203" i="1"/>
  <c r="AK201" i="1"/>
  <c r="AK200" i="1"/>
  <c r="AK217" i="1"/>
  <c r="AK197" i="1"/>
  <c r="AK218" i="1"/>
  <c r="AK179" i="1"/>
  <c r="AI37" i="1"/>
  <c r="AI58" i="1" s="1"/>
  <c r="AJ138" i="1"/>
  <c r="AJ135" i="1"/>
  <c r="AJ37" i="1"/>
  <c r="AF37" i="1"/>
  <c r="AF44" i="1"/>
  <c r="AF135" i="1"/>
  <c r="AI140" i="1"/>
  <c r="AJ44" i="1"/>
  <c r="Z58" i="1"/>
  <c r="Z69" i="1"/>
  <c r="Z117" i="1" s="1"/>
  <c r="AF64" i="1"/>
  <c r="AF112" i="1" s="1"/>
  <c r="Y69" i="1"/>
  <c r="X69" i="1"/>
  <c r="AI64" i="1"/>
  <c r="AI112" i="1" s="1"/>
  <c r="W69" i="1"/>
  <c r="V69" i="1"/>
  <c r="V117" i="1" s="1"/>
  <c r="U69" i="1"/>
  <c r="AH64" i="1"/>
  <c r="T69" i="1"/>
  <c r="T117" i="1" s="1"/>
  <c r="S69" i="1"/>
  <c r="S117" i="1" s="1"/>
  <c r="AG64" i="1"/>
  <c r="AG112" i="1" s="1"/>
  <c r="R69" i="1"/>
  <c r="R117" i="1" s="1"/>
  <c r="Q69" i="1"/>
  <c r="Q117" i="1" s="1"/>
  <c r="P69" i="1"/>
  <c r="P117" i="1" s="1"/>
  <c r="O69" i="1"/>
  <c r="O117" i="1" s="1"/>
  <c r="N69" i="1"/>
  <c r="N117" i="1" s="1"/>
  <c r="AA64" i="1"/>
  <c r="AA112" i="1" s="1"/>
  <c r="M69" i="1"/>
  <c r="M117" i="1" s="1"/>
  <c r="L69" i="1"/>
  <c r="L117" i="1" s="1"/>
  <c r="AD64" i="1"/>
  <c r="AD112" i="1" s="1"/>
  <c r="K69" i="1"/>
  <c r="K117" i="1" s="1"/>
  <c r="J69" i="1"/>
  <c r="J117" i="1" s="1"/>
  <c r="AC64" i="1"/>
  <c r="AC112" i="1" s="1"/>
  <c r="I69" i="1"/>
  <c r="H69" i="1"/>
  <c r="H117" i="1" s="1"/>
  <c r="G69" i="1"/>
  <c r="AB64" i="1"/>
  <c r="AB112" i="1" s="1"/>
  <c r="F69" i="1"/>
  <c r="E69" i="1"/>
  <c r="E117" i="1" s="1"/>
  <c r="C69" i="1"/>
  <c r="D69" i="1"/>
  <c r="D117" i="1" s="1"/>
  <c r="AF78" i="1"/>
  <c r="AF126" i="1" s="1"/>
  <c r="O76" i="1"/>
  <c r="O124" i="1" s="1"/>
  <c r="C76" i="1"/>
  <c r="C124" i="1" s="1"/>
  <c r="AF71" i="1"/>
  <c r="AF119" i="1" s="1"/>
  <c r="AH78" i="1"/>
  <c r="AH126" i="1" s="1"/>
  <c r="C83" i="1"/>
  <c r="C131" i="1" s="1"/>
  <c r="O83" i="1"/>
  <c r="O131" i="1" s="1"/>
  <c r="AA78" i="1"/>
  <c r="AA126" i="1" s="1"/>
  <c r="AA71" i="1"/>
  <c r="AA119" i="1" s="1"/>
  <c r="D76" i="1"/>
  <c r="D124" i="1" s="1"/>
  <c r="AC71" i="1"/>
  <c r="AC119" i="1" s="1"/>
  <c r="AF81" i="1"/>
  <c r="AF129" i="1" s="1"/>
  <c r="AJ81" i="1"/>
  <c r="AJ129" i="1" s="1"/>
  <c r="AI71" i="1"/>
  <c r="AI119" i="1" s="1"/>
  <c r="U76" i="1"/>
  <c r="U124" i="1" s="1"/>
  <c r="AG65" i="1"/>
  <c r="AG113" i="1" s="1"/>
  <c r="P76" i="1"/>
  <c r="P124" i="1" s="1"/>
  <c r="AH82" i="1"/>
  <c r="AH130" i="1" s="1"/>
  <c r="AJ72" i="1"/>
  <c r="AJ120" i="1" s="1"/>
  <c r="AF72" i="1"/>
  <c r="AF120" i="1" s="1"/>
  <c r="K83" i="1"/>
  <c r="K131" i="1" s="1"/>
  <c r="AD78" i="1"/>
  <c r="AD126" i="1" s="1"/>
  <c r="AH80" i="1"/>
  <c r="AH128" i="1" s="1"/>
  <c r="G76" i="1"/>
  <c r="G124" i="1" s="1"/>
  <c r="AG78" i="1"/>
  <c r="AG126" i="1" s="1"/>
  <c r="AG79" i="1"/>
  <c r="AG127" i="1" s="1"/>
  <c r="AJ74" i="1"/>
  <c r="AJ122" i="1" s="1"/>
  <c r="AF74" i="1"/>
  <c r="AF122" i="1" s="1"/>
  <c r="AB71" i="1"/>
  <c r="AB119" i="1" s="1"/>
  <c r="T83" i="1"/>
  <c r="T131" i="1" s="1"/>
  <c r="L76" i="1"/>
  <c r="L124" i="1" s="1"/>
  <c r="AB78" i="1"/>
  <c r="AB126" i="1" s="1"/>
  <c r="AJ79" i="1"/>
  <c r="AJ127" i="1" s="1"/>
  <c r="AF79" i="1"/>
  <c r="AF127" i="1" s="1"/>
  <c r="AI67" i="1"/>
  <c r="AI115" i="1" s="1"/>
  <c r="D83" i="1"/>
  <c r="D131" i="1" s="1"/>
  <c r="X76" i="1"/>
  <c r="X124" i="1" s="1"/>
  <c r="V76" i="1"/>
  <c r="V124" i="1" s="1"/>
  <c r="K76" i="1"/>
  <c r="K124" i="1" s="1"/>
  <c r="AD71" i="1"/>
  <c r="AD119" i="1" s="1"/>
  <c r="AF82" i="1"/>
  <c r="AF130" i="1" s="1"/>
  <c r="AJ82" i="1"/>
  <c r="AJ130" i="1" s="1"/>
  <c r="AJ75" i="1"/>
  <c r="AJ123" i="1" s="1"/>
  <c r="AF75" i="1"/>
  <c r="AF123" i="1" s="1"/>
  <c r="AG66" i="1"/>
  <c r="AG114" i="1" s="1"/>
  <c r="N83" i="1"/>
  <c r="N131" i="1" s="1"/>
  <c r="P83" i="1"/>
  <c r="P131" i="1" s="1"/>
  <c r="AB66" i="1"/>
  <c r="AB114" i="1" s="1"/>
  <c r="AJ71" i="1"/>
  <c r="AJ119" i="1" s="1"/>
  <c r="AJ78" i="1"/>
  <c r="AJ126" i="1" s="1"/>
  <c r="I83" i="1"/>
  <c r="I131" i="1" s="1"/>
  <c r="AJ73" i="1"/>
  <c r="AJ121" i="1" s="1"/>
  <c r="AF73" i="1"/>
  <c r="AF121" i="1" s="1"/>
  <c r="AJ65" i="1"/>
  <c r="AJ113" i="1" s="1"/>
  <c r="AF65" i="1"/>
  <c r="AF113" i="1" s="1"/>
  <c r="S76" i="1"/>
  <c r="S124" i="1" s="1"/>
  <c r="Q83" i="1"/>
  <c r="Q131" i="1" s="1"/>
  <c r="V83" i="1"/>
  <c r="V131" i="1" s="1"/>
  <c r="AC79" i="1"/>
  <c r="AC127" i="1" s="1"/>
  <c r="AD79" i="1"/>
  <c r="AD127" i="1" s="1"/>
  <c r="AD74" i="1"/>
  <c r="AD122" i="1" s="1"/>
  <c r="AC78" i="1"/>
  <c r="AC126" i="1" s="1"/>
  <c r="H83" i="1"/>
  <c r="H131" i="1" s="1"/>
  <c r="AH68" i="1"/>
  <c r="AH116" i="1" s="1"/>
  <c r="AG73" i="1"/>
  <c r="AG121" i="1" s="1"/>
  <c r="M83" i="1"/>
  <c r="M131" i="1" s="1"/>
  <c r="Z83" i="1"/>
  <c r="Z131" i="1" s="1"/>
  <c r="AI68" i="1"/>
  <c r="AI116" i="1" s="1"/>
  <c r="AI73" i="1"/>
  <c r="AI121" i="1" s="1"/>
  <c r="AB81" i="1"/>
  <c r="AB129" i="1" s="1"/>
  <c r="AD65" i="1"/>
  <c r="AD113" i="1" s="1"/>
  <c r="AC74" i="1"/>
  <c r="AC122" i="1" s="1"/>
  <c r="AC81" i="1"/>
  <c r="AC129" i="1" s="1"/>
  <c r="AH65" i="1"/>
  <c r="AH113" i="1" s="1"/>
  <c r="I76" i="1"/>
  <c r="I124" i="1" s="1"/>
  <c r="AC82" i="1"/>
  <c r="AC130" i="1" s="1"/>
  <c r="H76" i="1"/>
  <c r="H124" i="1" s="1"/>
  <c r="J76" i="1"/>
  <c r="J124" i="1" s="1"/>
  <c r="S83" i="1"/>
  <c r="S131" i="1" s="1"/>
  <c r="AJ66" i="1"/>
  <c r="AJ114" i="1" s="1"/>
  <c r="AF66" i="1"/>
  <c r="AF114" i="1" s="1"/>
  <c r="M76" i="1"/>
  <c r="M124" i="1" s="1"/>
  <c r="AH79" i="1"/>
  <c r="AH127" i="1" s="1"/>
  <c r="F83" i="1"/>
  <c r="F131" i="1" s="1"/>
  <c r="AI66" i="1"/>
  <c r="AI114" i="1" s="1"/>
  <c r="F76" i="1"/>
  <c r="F124" i="1" s="1"/>
  <c r="AI74" i="1"/>
  <c r="AI122" i="1" s="1"/>
  <c r="AI79" i="1"/>
  <c r="AI127" i="1" s="1"/>
  <c r="G83" i="1"/>
  <c r="G131" i="1" s="1"/>
  <c r="AD72" i="1"/>
  <c r="AD120" i="1" s="1"/>
  <c r="AG74" i="1"/>
  <c r="AG122" i="1" s="1"/>
  <c r="AB67" i="1"/>
  <c r="AB115" i="1" s="1"/>
  <c r="AG72" i="1"/>
  <c r="AG120" i="1" s="1"/>
  <c r="AI75" i="1"/>
  <c r="AI123" i="1" s="1"/>
  <c r="AB80" i="1"/>
  <c r="AB128" i="1" s="1"/>
  <c r="AD67" i="1"/>
  <c r="AD115" i="1" s="1"/>
  <c r="AC72" i="1"/>
  <c r="AC120" i="1" s="1"/>
  <c r="Y76" i="1"/>
  <c r="Y124" i="1" s="1"/>
  <c r="AC80" i="1"/>
  <c r="AC128" i="1" s="1"/>
  <c r="AG67" i="1"/>
  <c r="AG115" i="1" s="1"/>
  <c r="AH72" i="1"/>
  <c r="AH120" i="1" s="1"/>
  <c r="J83" i="1"/>
  <c r="J131" i="1" s="1"/>
  <c r="AG81" i="1"/>
  <c r="AG129" i="1" s="1"/>
  <c r="AJ64" i="1"/>
  <c r="AJ112" i="1" s="1"/>
  <c r="AG68" i="1"/>
  <c r="AG116" i="1" s="1"/>
  <c r="L83" i="1"/>
  <c r="AI81" i="1"/>
  <c r="AI129" i="1" s="1"/>
  <c r="AI65" i="1"/>
  <c r="AI113" i="1" s="1"/>
  <c r="AH67" i="1"/>
  <c r="AH115" i="1" s="1"/>
  <c r="N76" i="1"/>
  <c r="N124" i="1" s="1"/>
  <c r="R76" i="1"/>
  <c r="R124" i="1" s="1"/>
  <c r="AH74" i="1"/>
  <c r="AH122" i="1" s="1"/>
  <c r="W83" i="1"/>
  <c r="W131" i="1" s="1"/>
  <c r="AI78" i="1"/>
  <c r="AI126" i="1" s="1"/>
  <c r="AI80" i="1"/>
  <c r="AI128" i="1" s="1"/>
  <c r="U83" i="1"/>
  <c r="U131" i="1" s="1"/>
  <c r="AB65" i="1"/>
  <c r="AB113" i="1" s="1"/>
  <c r="AC68" i="1"/>
  <c r="AC116" i="1" s="1"/>
  <c r="W76" i="1"/>
  <c r="W124" i="1" s="1"/>
  <c r="AH73" i="1"/>
  <c r="AH121" i="1" s="1"/>
  <c r="X83" i="1"/>
  <c r="X131" i="1" s="1"/>
  <c r="AI82" i="1"/>
  <c r="AI130" i="1" s="1"/>
  <c r="AC66" i="1"/>
  <c r="AC114" i="1" s="1"/>
  <c r="AD68" i="1"/>
  <c r="AD116" i="1" s="1"/>
  <c r="Z76" i="1"/>
  <c r="Z124" i="1" s="1"/>
  <c r="AB73" i="1"/>
  <c r="AB121" i="1" s="1"/>
  <c r="AG75" i="1"/>
  <c r="AG123" i="1" s="1"/>
  <c r="AF80" i="1"/>
  <c r="AF128" i="1" s="1"/>
  <c r="AJ80" i="1"/>
  <c r="AJ128" i="1" s="1"/>
  <c r="AB82" i="1"/>
  <c r="AB130" i="1" s="1"/>
  <c r="AD66" i="1"/>
  <c r="AD114" i="1" s="1"/>
  <c r="AJ68" i="1"/>
  <c r="AJ116" i="1" s="1"/>
  <c r="AF68" i="1"/>
  <c r="AF116" i="1" s="1"/>
  <c r="Q76" i="1"/>
  <c r="Q124" i="1" s="1"/>
  <c r="AG71" i="1"/>
  <c r="AG119" i="1" s="1"/>
  <c r="AC73" i="1"/>
  <c r="AC121" i="1" s="1"/>
  <c r="AH75" i="1"/>
  <c r="AH123" i="1" s="1"/>
  <c r="R83" i="1"/>
  <c r="R131" i="1" s="1"/>
  <c r="AD82" i="1"/>
  <c r="AD130" i="1" s="1"/>
  <c r="AH66" i="1"/>
  <c r="AH114" i="1" s="1"/>
  <c r="AB68" i="1"/>
  <c r="AB116" i="1" s="1"/>
  <c r="T76" i="1"/>
  <c r="T124" i="1" s="1"/>
  <c r="AH71" i="1"/>
  <c r="AH119" i="1" s="1"/>
  <c r="AD73" i="1"/>
  <c r="AD121" i="1" s="1"/>
  <c r="AD75" i="1"/>
  <c r="AD123" i="1" s="1"/>
  <c r="AB79" i="1"/>
  <c r="AB127" i="1" s="1"/>
  <c r="AD81" i="1"/>
  <c r="AD129" i="1" s="1"/>
  <c r="AG82" i="1"/>
  <c r="AG130" i="1" s="1"/>
  <c r="AC65" i="1"/>
  <c r="AC113" i="1" s="1"/>
  <c r="AC67" i="1"/>
  <c r="AC115" i="1" s="1"/>
  <c r="AI72" i="1"/>
  <c r="AI120" i="1" s="1"/>
  <c r="AB75" i="1"/>
  <c r="AB123" i="1" s="1"/>
  <c r="E83" i="1"/>
  <c r="E131" i="1" s="1"/>
  <c r="AD80" i="1"/>
  <c r="AD128" i="1" s="1"/>
  <c r="AH81" i="1"/>
  <c r="AH129" i="1" s="1"/>
  <c r="Y83" i="1"/>
  <c r="Y131" i="1" s="1"/>
  <c r="AJ67" i="1"/>
  <c r="AJ115" i="1" s="1"/>
  <c r="AF67" i="1"/>
  <c r="AF115" i="1" s="1"/>
  <c r="E76" i="1"/>
  <c r="E124" i="1" s="1"/>
  <c r="AB72" i="1"/>
  <c r="AB120" i="1" s="1"/>
  <c r="AB74" i="1"/>
  <c r="AB122" i="1" s="1"/>
  <c r="AC75" i="1"/>
  <c r="AC123" i="1" s="1"/>
  <c r="AG80" i="1"/>
  <c r="AG128" i="1" s="1"/>
  <c r="AE64" i="1"/>
  <c r="AE65" i="1"/>
  <c r="AA65" i="1"/>
  <c r="AA113" i="1" s="1"/>
  <c r="AE66" i="1"/>
  <c r="AA66" i="1"/>
  <c r="AA114" i="1" s="1"/>
  <c r="AE67" i="1"/>
  <c r="AA67" i="1"/>
  <c r="AA115" i="1" s="1"/>
  <c r="AA68" i="1"/>
  <c r="AA116" i="1" s="1"/>
  <c r="AE68" i="1"/>
  <c r="AE71" i="1"/>
  <c r="AE72" i="1"/>
  <c r="AA72" i="1"/>
  <c r="AA120" i="1" s="1"/>
  <c r="AA73" i="1"/>
  <c r="AA121" i="1" s="1"/>
  <c r="AE73" i="1"/>
  <c r="AE74" i="1"/>
  <c r="AA74" i="1"/>
  <c r="AA122" i="1" s="1"/>
  <c r="AA75" i="1"/>
  <c r="AA123" i="1" s="1"/>
  <c r="AE75" i="1"/>
  <c r="AE78" i="1"/>
  <c r="AA79" i="1"/>
  <c r="AA127" i="1" s="1"/>
  <c r="AE79" i="1"/>
  <c r="AE80" i="1"/>
  <c r="AA80" i="1"/>
  <c r="AA128" i="1" s="1"/>
  <c r="AE81" i="1"/>
  <c r="AA81" i="1"/>
  <c r="AA129" i="1" s="1"/>
  <c r="AE82" i="1"/>
  <c r="AA82" i="1"/>
  <c r="AA130" i="1" s="1"/>
  <c r="AE127" i="1" l="1"/>
  <c r="AE116" i="1"/>
  <c r="AE126" i="1"/>
  <c r="AE123" i="1"/>
  <c r="AE115" i="1"/>
  <c r="AE120" i="1"/>
  <c r="AE114" i="1"/>
  <c r="AE128" i="1"/>
  <c r="AE119" i="1"/>
  <c r="AE122" i="1"/>
  <c r="AE130" i="1"/>
  <c r="AE121" i="1"/>
  <c r="AE113" i="1"/>
  <c r="AE112" i="1"/>
  <c r="AE129" i="1"/>
  <c r="F85" i="1"/>
  <c r="F117" i="1"/>
  <c r="X85" i="1"/>
  <c r="X117" i="1"/>
  <c r="G85" i="1"/>
  <c r="G117" i="1"/>
  <c r="Y85" i="1"/>
  <c r="Y117" i="1"/>
  <c r="U85" i="1"/>
  <c r="U117" i="1"/>
  <c r="I85" i="1"/>
  <c r="I117" i="1"/>
  <c r="L85" i="1"/>
  <c r="L131" i="1"/>
  <c r="AC76" i="1"/>
  <c r="AC124" i="1" s="1"/>
  <c r="C85" i="1"/>
  <c r="C117" i="1"/>
  <c r="AH69" i="1"/>
  <c r="AH117" i="1" s="1"/>
  <c r="AH112" i="1"/>
  <c r="W85" i="1"/>
  <c r="W117" i="1"/>
  <c r="AJ58" i="1"/>
  <c r="AJ140" i="1"/>
  <c r="AF58" i="1"/>
  <c r="AF140" i="1"/>
  <c r="AD83" i="1"/>
  <c r="AD131" i="1" s="1"/>
  <c r="E85" i="1"/>
  <c r="M85" i="1"/>
  <c r="AB83" i="1"/>
  <c r="AB131" i="1" s="1"/>
  <c r="AA69" i="1"/>
  <c r="AA117" i="1" s="1"/>
  <c r="AA83" i="1"/>
  <c r="AA131" i="1" s="1"/>
  <c r="N85" i="1"/>
  <c r="AJ83" i="1"/>
  <c r="O85" i="1"/>
  <c r="AE83" i="1"/>
  <c r="H85" i="1"/>
  <c r="AI69" i="1"/>
  <c r="AI117" i="1" s="1"/>
  <c r="AD76" i="1"/>
  <c r="AD124" i="1" s="1"/>
  <c r="AH83" i="1"/>
  <c r="AH131" i="1" s="1"/>
  <c r="AG76" i="1"/>
  <c r="AG124" i="1" s="1"/>
  <c r="AF76" i="1"/>
  <c r="AF124" i="1" s="1"/>
  <c r="AC83" i="1"/>
  <c r="AC131" i="1" s="1"/>
  <c r="AI76" i="1"/>
  <c r="AI124" i="1" s="1"/>
  <c r="AE76" i="1"/>
  <c r="J85" i="1"/>
  <c r="R85" i="1"/>
  <c r="AF69" i="1"/>
  <c r="AG83" i="1"/>
  <c r="AJ76" i="1"/>
  <c r="AJ124" i="1" s="1"/>
  <c r="K85" i="1"/>
  <c r="AG69" i="1"/>
  <c r="AG117" i="1" s="1"/>
  <c r="Z85" i="1"/>
  <c r="AF83" i="1"/>
  <c r="AF131" i="1" s="1"/>
  <c r="AD69" i="1"/>
  <c r="AD117" i="1" s="1"/>
  <c r="S85" i="1"/>
  <c r="AA76" i="1"/>
  <c r="AA124" i="1" s="1"/>
  <c r="V85" i="1"/>
  <c r="AB69" i="1"/>
  <c r="AB117" i="1" s="1"/>
  <c r="AI83" i="1"/>
  <c r="AB76" i="1"/>
  <c r="AB124" i="1" s="1"/>
  <c r="AJ69" i="1"/>
  <c r="AJ117" i="1" s="1"/>
  <c r="P85" i="1"/>
  <c r="AC69" i="1"/>
  <c r="AC117" i="1" s="1"/>
  <c r="Q85" i="1"/>
  <c r="AH76" i="1"/>
  <c r="D85" i="1"/>
  <c r="T85" i="1"/>
  <c r="AE69" i="1"/>
  <c r="AK121" i="1" l="1"/>
  <c r="AK129" i="1"/>
  <c r="AK143" i="1"/>
  <c r="AK120" i="1"/>
  <c r="AK128" i="1"/>
  <c r="AK112" i="1"/>
  <c r="AK127" i="1"/>
  <c r="AK150" i="1"/>
  <c r="AK113" i="1"/>
  <c r="AK126" i="1"/>
  <c r="AK139" i="1"/>
  <c r="AK130" i="1"/>
  <c r="AK116" i="1"/>
  <c r="AK135" i="1"/>
  <c r="AK115" i="1"/>
  <c r="AK148" i="1"/>
  <c r="AK146" i="1"/>
  <c r="AK114" i="1"/>
  <c r="AK144" i="1"/>
  <c r="AK123" i="1"/>
  <c r="AK152" i="1"/>
  <c r="AK140" i="1"/>
  <c r="AK119" i="1"/>
  <c r="AK137" i="1"/>
  <c r="AK138" i="1"/>
  <c r="AK122" i="1"/>
  <c r="AK145" i="1"/>
  <c r="AK136" i="1"/>
  <c r="AK149" i="1"/>
  <c r="AE117" i="1"/>
  <c r="AK117" i="1" s="1"/>
  <c r="AE124" i="1"/>
  <c r="AK124" i="1" s="1"/>
  <c r="AE131" i="1"/>
  <c r="AK48" i="1"/>
  <c r="AK52" i="1"/>
  <c r="AK54" i="1"/>
  <c r="AK50" i="1"/>
  <c r="AK47" i="1"/>
  <c r="AK43" i="1"/>
  <c r="AK40" i="1"/>
  <c r="AK41" i="1"/>
  <c r="AK42" i="1"/>
  <c r="AK39" i="1"/>
  <c r="AK37" i="1"/>
  <c r="AK56" i="1"/>
  <c r="AK44" i="1"/>
  <c r="AK14" i="1"/>
  <c r="AK21" i="1"/>
  <c r="AK22" i="1"/>
  <c r="AK33" i="1"/>
  <c r="AK31" i="1"/>
  <c r="AK13" i="1"/>
  <c r="AK35" i="1"/>
  <c r="AK12" i="1"/>
  <c r="AK32" i="1"/>
  <c r="AK16" i="1"/>
  <c r="AK15" i="1"/>
  <c r="AK34" i="1"/>
  <c r="AK30" i="1"/>
  <c r="AK25" i="1"/>
  <c r="AK24" i="1"/>
  <c r="AK26" i="1"/>
  <c r="AK23" i="1"/>
  <c r="AK17" i="1"/>
  <c r="AD85" i="1"/>
  <c r="AD106" i="1" s="1"/>
  <c r="AD154" i="1" s="1"/>
  <c r="AA85" i="1"/>
  <c r="AA133" i="1" s="1"/>
  <c r="V106" i="1"/>
  <c r="V154" i="1" s="1"/>
  <c r="V133" i="1"/>
  <c r="AB85" i="1"/>
  <c r="R106" i="1"/>
  <c r="R154" i="1" s="1"/>
  <c r="R133" i="1"/>
  <c r="O106" i="1"/>
  <c r="O154" i="1" s="1"/>
  <c r="O133" i="1"/>
  <c r="AJ85" i="1"/>
  <c r="AJ131" i="1"/>
  <c r="W106" i="1"/>
  <c r="W154" i="1" s="1"/>
  <c r="W133" i="1"/>
  <c r="L106" i="1"/>
  <c r="L154" i="1" s="1"/>
  <c r="L133" i="1"/>
  <c r="X106" i="1"/>
  <c r="X154" i="1" s="1"/>
  <c r="X133" i="1"/>
  <c r="I106" i="1"/>
  <c r="I154" i="1" s="1"/>
  <c r="I133" i="1"/>
  <c r="U106" i="1"/>
  <c r="U154" i="1" s="1"/>
  <c r="U133" i="1"/>
  <c r="S106" i="1"/>
  <c r="S154" i="1" s="1"/>
  <c r="S133" i="1"/>
  <c r="D106" i="1"/>
  <c r="D154" i="1" s="1"/>
  <c r="D133" i="1"/>
  <c r="AH85" i="1"/>
  <c r="AH124" i="1"/>
  <c r="Q106" i="1"/>
  <c r="Q154" i="1" s="1"/>
  <c r="Q133" i="1"/>
  <c r="M106" i="1"/>
  <c r="M154" i="1" s="1"/>
  <c r="M133" i="1"/>
  <c r="E106" i="1"/>
  <c r="E154" i="1" s="1"/>
  <c r="E133" i="1"/>
  <c r="P106" i="1"/>
  <c r="P154" i="1" s="1"/>
  <c r="P133" i="1"/>
  <c r="K106" i="1"/>
  <c r="K154" i="1" s="1"/>
  <c r="K133" i="1"/>
  <c r="H106" i="1"/>
  <c r="H154" i="1" s="1"/>
  <c r="H133" i="1"/>
  <c r="J106" i="1"/>
  <c r="J154" i="1" s="1"/>
  <c r="J133" i="1"/>
  <c r="N106" i="1"/>
  <c r="N154" i="1" s="1"/>
  <c r="N133" i="1"/>
  <c r="T106" i="1"/>
  <c r="T154" i="1" s="1"/>
  <c r="T133" i="1"/>
  <c r="Y106" i="1"/>
  <c r="Y154" i="1" s="1"/>
  <c r="Y133" i="1"/>
  <c r="Z106" i="1"/>
  <c r="Z154" i="1" s="1"/>
  <c r="Z133" i="1"/>
  <c r="C106" i="1"/>
  <c r="C154" i="1" s="1"/>
  <c r="C133" i="1"/>
  <c r="G106" i="1"/>
  <c r="G154" i="1" s="1"/>
  <c r="G133" i="1"/>
  <c r="AG85" i="1"/>
  <c r="AG131" i="1"/>
  <c r="AI85" i="1"/>
  <c r="AI131" i="1"/>
  <c r="AF85" i="1"/>
  <c r="AF117" i="1"/>
  <c r="F106" i="1"/>
  <c r="F154" i="1" s="1"/>
  <c r="F133" i="1"/>
  <c r="AC85" i="1"/>
  <c r="AE85" i="1"/>
  <c r="I155" i="1" l="1"/>
  <c r="I222" i="1"/>
  <c r="N155" i="1"/>
  <c r="N222" i="1"/>
  <c r="M155" i="1"/>
  <c r="M222" i="1"/>
  <c r="R155" i="1"/>
  <c r="R222" i="1"/>
  <c r="X155" i="1"/>
  <c r="X222" i="1"/>
  <c r="H155" i="1"/>
  <c r="H222" i="1"/>
  <c r="D155" i="1"/>
  <c r="D222" i="1"/>
  <c r="G155" i="1"/>
  <c r="G222" i="1"/>
  <c r="V155" i="1"/>
  <c r="V222" i="1"/>
  <c r="C155" i="1"/>
  <c r="C222" i="1"/>
  <c r="Z155" i="1"/>
  <c r="Z222" i="1"/>
  <c r="P155" i="1"/>
  <c r="P222" i="1"/>
  <c r="J155" i="1"/>
  <c r="J222" i="1"/>
  <c r="K155" i="1"/>
  <c r="K222" i="1"/>
  <c r="Y155" i="1"/>
  <c r="Y222" i="1"/>
  <c r="S155" i="1"/>
  <c r="S222" i="1"/>
  <c r="Q155" i="1"/>
  <c r="Q222" i="1"/>
  <c r="L155" i="1"/>
  <c r="L222" i="1"/>
  <c r="AD155" i="1"/>
  <c r="AD222" i="1"/>
  <c r="F155" i="1"/>
  <c r="F222" i="1"/>
  <c r="W155" i="1"/>
  <c r="W222" i="1"/>
  <c r="T155" i="1"/>
  <c r="T222" i="1"/>
  <c r="E155" i="1"/>
  <c r="E222" i="1"/>
  <c r="U155" i="1"/>
  <c r="U222" i="1"/>
  <c r="O155" i="1"/>
  <c r="O222" i="1"/>
  <c r="AK131" i="1"/>
  <c r="AD133" i="1"/>
  <c r="AA106" i="1"/>
  <c r="AA154" i="1" s="1"/>
  <c r="AE106" i="1"/>
  <c r="AE133" i="1"/>
  <c r="AI106" i="1"/>
  <c r="AI154" i="1" s="1"/>
  <c r="AI133" i="1"/>
  <c r="AG106" i="1"/>
  <c r="AG154" i="1" s="1"/>
  <c r="AG133" i="1"/>
  <c r="AJ106" i="1"/>
  <c r="AJ154" i="1" s="1"/>
  <c r="AJ133" i="1"/>
  <c r="AC106" i="1"/>
  <c r="AC154" i="1" s="1"/>
  <c r="AC133" i="1"/>
  <c r="AF106" i="1"/>
  <c r="AF154" i="1" s="1"/>
  <c r="AF133" i="1"/>
  <c r="AH106" i="1"/>
  <c r="AH154" i="1" s="1"/>
  <c r="AH133" i="1"/>
  <c r="AB106" i="1"/>
  <c r="AB154" i="1" s="1"/>
  <c r="AB133" i="1"/>
  <c r="AG155" i="1" l="1"/>
  <c r="AG222" i="1"/>
  <c r="AJ155" i="1"/>
  <c r="AJ222" i="1"/>
  <c r="AI155" i="1"/>
  <c r="AI222" i="1"/>
  <c r="AA155" i="1"/>
  <c r="AA222" i="1"/>
  <c r="AB155" i="1"/>
  <c r="AB222" i="1"/>
  <c r="AF155" i="1"/>
  <c r="AF222" i="1"/>
  <c r="AC155" i="1"/>
  <c r="AC222" i="1"/>
  <c r="AH155" i="1"/>
  <c r="AH222" i="1"/>
  <c r="AK133" i="1"/>
  <c r="AK85" i="1"/>
  <c r="AE154" i="1"/>
  <c r="AK104" i="1"/>
  <c r="AK91" i="1"/>
  <c r="AK90" i="1"/>
  <c r="AK102" i="1"/>
  <c r="AK89" i="1"/>
  <c r="AK101" i="1"/>
  <c r="AK88" i="1"/>
  <c r="AK100" i="1"/>
  <c r="AK87" i="1"/>
  <c r="AK98" i="1"/>
  <c r="AK97" i="1"/>
  <c r="AK96" i="1"/>
  <c r="AK95" i="1"/>
  <c r="AK92" i="1"/>
  <c r="AK68" i="1"/>
  <c r="AK80" i="1"/>
  <c r="AK64" i="1"/>
  <c r="AK78" i="1"/>
  <c r="AK71" i="1"/>
  <c r="AK81" i="1"/>
  <c r="AK75" i="1"/>
  <c r="AK74" i="1"/>
  <c r="AK67" i="1"/>
  <c r="AK82" i="1"/>
  <c r="AK72" i="1"/>
  <c r="AK73" i="1"/>
  <c r="AK79" i="1"/>
  <c r="AK66" i="1"/>
  <c r="AK65" i="1"/>
  <c r="AK69" i="1"/>
  <c r="AK76" i="1"/>
  <c r="AK83" i="1"/>
  <c r="AE155" i="1" l="1"/>
  <c r="AE222" i="1"/>
  <c r="AK154" i="1"/>
</calcChain>
</file>

<file path=xl/sharedStrings.xml><?xml version="1.0" encoding="utf-8"?>
<sst xmlns="http://schemas.openxmlformats.org/spreadsheetml/2006/main" count="473" uniqueCount="198">
  <si>
    <t>Total</t>
  </si>
  <si>
    <t>Month</t>
  </si>
  <si>
    <t>NeetSheets</t>
  </si>
  <si>
    <t>Cash Flow Forecast</t>
  </si>
  <si>
    <t>Start Date</t>
  </si>
  <si>
    <t>Twin Top Sheet</t>
  </si>
  <si>
    <t>Full Top Sheet</t>
  </si>
  <si>
    <t>Twin Bottom Sheet</t>
  </si>
  <si>
    <t>Full Bottom Sheet</t>
  </si>
  <si>
    <t>Twin Decorative Sheet</t>
  </si>
  <si>
    <t>Full Decorative Sheet</t>
  </si>
  <si>
    <t>Queen Decorative Sheet</t>
  </si>
  <si>
    <t>Twin Fitted Sheet</t>
  </si>
  <si>
    <t>Full Fitted Sheet</t>
  </si>
  <si>
    <t>Queen Fitted Sheet</t>
  </si>
  <si>
    <t>Std Pillow Case</t>
  </si>
  <si>
    <t>Queen Pillow Case</t>
  </si>
  <si>
    <t>King Pillow Case</t>
  </si>
  <si>
    <t>Price/Unit</t>
  </si>
  <si>
    <t>Cost/Unit</t>
  </si>
  <si>
    <t>Mark up%</t>
  </si>
  <si>
    <t>$ Mark up</t>
  </si>
  <si>
    <t>Products</t>
  </si>
  <si>
    <t>Unit Inputs</t>
  </si>
  <si>
    <t>Licensing Inputs</t>
  </si>
  <si>
    <t>Initial Fee</t>
  </si>
  <si>
    <t>Rev. Share %</t>
  </si>
  <si>
    <t>Exclusive:</t>
  </si>
  <si>
    <t>Non-Exclusive:</t>
  </si>
  <si>
    <t>Wholesale Inputs</t>
  </si>
  <si>
    <t>Reorders/yr</t>
  </si>
  <si>
    <t>Small Hotels</t>
  </si>
  <si>
    <t>Small Hotels:</t>
  </si>
  <si>
    <t>Medium Hotels:</t>
  </si>
  <si>
    <t>Large Hotels:</t>
  </si>
  <si>
    <t>Avg. Bedrooms</t>
  </si>
  <si>
    <t>Avg. Bed/bedroom</t>
  </si>
  <si>
    <t>Twin Package:</t>
  </si>
  <si>
    <t>Full Package:</t>
  </si>
  <si>
    <t>Total Twin</t>
  </si>
  <si>
    <t>Total Full</t>
  </si>
  <si>
    <t>Total Queen</t>
  </si>
  <si>
    <t>Total King</t>
  </si>
  <si>
    <t>King Package:</t>
  </si>
  <si>
    <t>Queen Package:</t>
  </si>
  <si>
    <t>Twin Package Orders</t>
  </si>
  <si>
    <t>Full Package Orders</t>
  </si>
  <si>
    <t>Queen Package Orders</t>
  </si>
  <si>
    <t>King Package Orders</t>
  </si>
  <si>
    <t>Universal Package Orders</t>
  </si>
  <si>
    <t>Q1</t>
  </si>
  <si>
    <t>Q2</t>
  </si>
  <si>
    <t>Q3</t>
  </si>
  <si>
    <t>Q4</t>
  </si>
  <si>
    <t>Trailing 12 Month</t>
  </si>
  <si>
    <t>Wholesale Revenue:</t>
  </si>
  <si>
    <t>Medium Hotels</t>
  </si>
  <si>
    <t>Large Hotels</t>
  </si>
  <si>
    <t>Total Wholesale Revenue</t>
  </si>
  <si>
    <t>Retail Revenue:</t>
  </si>
  <si>
    <t>Retail Inputs</t>
  </si>
  <si>
    <t># of New Hotels/Yr</t>
  </si>
  <si>
    <t>Churn Rate</t>
  </si>
  <si>
    <t>Revenue</t>
  </si>
  <si>
    <t>Licensing Revenue:</t>
  </si>
  <si>
    <t>Units</t>
  </si>
  <si>
    <t>Rev. Share</t>
  </si>
  <si>
    <t>Total Exclusive Revenue</t>
  </si>
  <si>
    <t>Units/License deal</t>
  </si>
  <si>
    <t># of Deals/Yr</t>
  </si>
  <si>
    <t>Total Non-Exclusive Revenue</t>
  </si>
  <si>
    <t>Total Licensing Revenue</t>
  </si>
  <si>
    <t>Total Revenue</t>
  </si>
  <si>
    <t>Starting units sold</t>
  </si>
  <si>
    <t>Growth Rate/Yr</t>
  </si>
  <si>
    <t>Churn Rate/Yr</t>
  </si>
  <si>
    <t>Total Retail Revenue</t>
  </si>
  <si>
    <t>Operating Costs</t>
  </si>
  <si>
    <t>Wholesale Costs:</t>
  </si>
  <si>
    <t>Retail Costs:</t>
  </si>
  <si>
    <t>Licensing Costs:</t>
  </si>
  <si>
    <t>Gross Profit</t>
  </si>
  <si>
    <t>Total Retail Costs</t>
  </si>
  <si>
    <t>Total Exclusive Costs</t>
  </si>
  <si>
    <t>Total Licensing Costs</t>
  </si>
  <si>
    <t>Total Operating Costs</t>
  </si>
  <si>
    <t>Wholesale Profit:</t>
  </si>
  <si>
    <t>Retail Profit:</t>
  </si>
  <si>
    <t>Total Retail Profit</t>
  </si>
  <si>
    <t>Licensing Profit:</t>
  </si>
  <si>
    <t>Total Exclusive Profit</t>
  </si>
  <si>
    <t>Total Licensing Profit</t>
  </si>
  <si>
    <t>Total Operating Profit</t>
  </si>
  <si>
    <t>Total Non-Exclusive Profit</t>
  </si>
  <si>
    <t>Total Wholesale Profit</t>
  </si>
  <si>
    <t>Total Non-Exclusive Costs</t>
  </si>
  <si>
    <t>Rev. Share Costs</t>
  </si>
  <si>
    <t>Total Wholesale Costs</t>
  </si>
  <si>
    <t>Other Costs</t>
  </si>
  <si>
    <t>Queen Top (Flat) Sheet</t>
  </si>
  <si>
    <t>Queen Bottom (fitted 2.0) Sheet</t>
  </si>
  <si>
    <t>Rooms by bed type</t>
  </si>
  <si>
    <t># of Orders</t>
  </si>
  <si>
    <t># of PARS</t>
  </si>
  <si>
    <t>Reorder months</t>
  </si>
  <si>
    <t>Starting Hotels</t>
  </si>
  <si>
    <t>Total Hotels</t>
  </si>
  <si>
    <t>YR 1</t>
  </si>
  <si>
    <t>YR 2</t>
  </si>
  <si>
    <t>Universal Pillow Case</t>
  </si>
  <si>
    <t>Total Universal</t>
  </si>
  <si>
    <t>King Top Sheet</t>
  </si>
  <si>
    <t>King Bottom Sheet</t>
  </si>
  <si>
    <t>King Decor Sheet</t>
  </si>
  <si>
    <t>King Fitted Sheet</t>
  </si>
  <si>
    <t>Universal Top Sheet</t>
  </si>
  <si>
    <t>Universal Bottom Sheet</t>
  </si>
  <si>
    <t>Universal Fitted Sheet</t>
  </si>
  <si>
    <t>Universal Decor Sheet</t>
  </si>
  <si>
    <t>Month of new hotels</t>
  </si>
  <si>
    <t># of New Hotels</t>
  </si>
  <si>
    <t># of Renew Orders</t>
  </si>
  <si>
    <t>Start hotels</t>
  </si>
  <si>
    <t>New hotels in Yr 2</t>
  </si>
  <si>
    <t>New hotels in Yr1</t>
  </si>
  <si>
    <t>Start</t>
  </si>
  <si>
    <t># of Reorders</t>
  </si>
  <si>
    <t># of Reorders/Yr</t>
  </si>
  <si>
    <t>#of hotels</t>
  </si>
  <si>
    <t>Reorders---&gt;</t>
  </si>
  <si>
    <t>Universal Package:</t>
  </si>
  <si>
    <t>Units Year</t>
  </si>
  <si>
    <t>Profit Margin %</t>
  </si>
  <si>
    <t>Annual % of Revenue</t>
  </si>
  <si>
    <t>Annual % of Opex</t>
  </si>
  <si>
    <t>TC200</t>
  </si>
  <si>
    <t>TC250</t>
  </si>
  <si>
    <t>TC300</t>
  </si>
  <si>
    <t>B6257</t>
  </si>
  <si>
    <t>Mark-Up</t>
  </si>
  <si>
    <t>Initial Fee/Yr</t>
  </si>
  <si>
    <t xml:space="preserve">*Note: all dates in the assumptions tab must start on the 1st </t>
  </si>
  <si>
    <t>Model Start Date</t>
  </si>
  <si>
    <t>Select Sheet Quality Costs</t>
  </si>
  <si>
    <t>*Rev. share based on avg. whole sale price</t>
  </si>
  <si>
    <t>Other Opex</t>
  </si>
  <si>
    <t>Dues and Subscriptions:</t>
  </si>
  <si>
    <t>Salaries</t>
  </si>
  <si>
    <t>*Plug in costs</t>
  </si>
  <si>
    <t>Costs</t>
  </si>
  <si>
    <t># of users</t>
  </si>
  <si>
    <t>Annual end</t>
  </si>
  <si>
    <t>*12 months after first annual charge</t>
  </si>
  <si>
    <t>Annual</t>
  </si>
  <si>
    <t>Monthly</t>
  </si>
  <si>
    <t>Select Frequency</t>
  </si>
  <si>
    <t>Annual Salary</t>
  </si>
  <si>
    <t>Hourly Rate</t>
  </si>
  <si>
    <t>End</t>
  </si>
  <si>
    <t>Hours/MO</t>
  </si>
  <si>
    <t>Status</t>
  </si>
  <si>
    <t>***Note, All costs with annual frequency requires 1 as the number of users</t>
  </si>
  <si>
    <t>Dues and Subscriptions</t>
  </si>
  <si>
    <t>Office:</t>
  </si>
  <si>
    <t>OFFICE</t>
  </si>
  <si>
    <t>Office</t>
  </si>
  <si>
    <t>Test 1</t>
  </si>
  <si>
    <t>Test 3</t>
  </si>
  <si>
    <t>Test 2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</si>
  <si>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</si>
  <si>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</si>
  <si>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</si>
  <si>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</si>
  <si>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</si>
  <si>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</si>
  <si>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</si>
  <si>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</si>
  <si>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</si>
  <si>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</si>
  <si>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</si>
  <si>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</si>
  <si>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</si>
  <si>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</si>
  <si>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</si>
  <si>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</si>
  <si>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</si>
  <si>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</si>
  <si>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G&amp;A</t>
  </si>
  <si>
    <t>Total Office</t>
  </si>
  <si>
    <t>Total Dues and subs.</t>
  </si>
  <si>
    <t>Total G&amp;A</t>
  </si>
  <si>
    <t>Ruth</t>
  </si>
  <si>
    <t>Total Other Costs</t>
  </si>
  <si>
    <t>Total Cash Flow</t>
  </si>
  <si>
    <t>Costs/Month</t>
  </si>
  <si>
    <t>Marketing and Trade Shows</t>
  </si>
  <si>
    <t>Total Marketing and Trade Shows</t>
  </si>
  <si>
    <t>Annual % of Other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</si>
</sst>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[$-409]mmm\-yy;@"/>
  </numFmts>
  <fonts count="31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  <font>
      <sz val="18"/>
      <color theme="1"/>
      <name val="Calibri"/>
      <family val="2"/>
    </font>
    <font>
      <b/>
      <i/>
      <sz val="11"/>
      <color rgb="FF0070C0"/>
      <name val="Calibri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</font>
    <font>
      <b/>
      <i/>
      <sz val="11"/>
      <name val="Calibri"/>
      <family val="2"/>
    </font>
    <font>
      <b/>
      <sz val="11"/>
      <color theme="1"/>
      <name val="Franklin Gothic Book"/>
      <family val="2"/>
      <scheme val="minor"/>
    </font>
    <font>
      <b/>
      <sz val="14"/>
      <color theme="1"/>
      <name val="Calibri"/>
      <family val="2"/>
    </font>
    <font>
      <i/>
      <sz val="11"/>
      <color theme="1"/>
      <name val="Franklin Gothic Book"/>
      <family val="2"/>
      <scheme val="minor"/>
    </font>
    <font>
      <sz val="14"/>
      <color rgb="FFFF0000"/>
      <name val="Calibri"/>
      <family val="2"/>
    </font>
    <font>
      <sz val="11"/>
      <color theme="1"/>
      <name val="Wingdings 3"/>
      <family val="1"/>
      <charset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sz val="16"/>
      <color theme="1"/>
      <name val="Calibri"/>
      <family val="2"/>
    </font>
    <font>
      <sz val="8"/>
      <name val="Franklin Gothic Book"/>
      <family val="2"/>
      <scheme val="minor"/>
    </font>
    <font>
      <sz val="11"/>
      <color theme="0"/>
      <name val="Calibri"/>
      <family val="2"/>
    </font>
    <font>
      <sz val="11"/>
      <color theme="6"/>
      <name val="Calibri"/>
      <family val="2"/>
    </font>
    <font>
      <sz val="11"/>
      <color theme="6" tint="-0.499984740745262"/>
      <name val="Calibri"/>
      <family val="2"/>
    </font>
    <font>
      <b/>
      <sz val="11"/>
      <color theme="3"/>
      <name val="Calibri"/>
      <family val="2"/>
    </font>
    <font>
      <b/>
      <sz val="22"/>
      <color theme="0"/>
      <name val="Calibri"/>
      <family val="2"/>
    </font>
    <font>
      <b/>
      <sz val="22"/>
      <color theme="6"/>
      <name val="Calibri"/>
      <family val="2"/>
    </font>
    <font>
      <b/>
      <sz val="20"/>
      <color theme="6" tint="-0.49998474074526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thin">
        <color theme="6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indexed="64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indexed="64"/>
      </right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indexed="64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indexed="64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theme="3" tint="0.79998168889431442"/>
      </top>
      <bottom style="thin">
        <color indexed="64"/>
      </bottom>
      <diagonal/>
    </border>
    <border>
      <left style="thin">
        <color theme="3" tint="0.79998168889431442"/>
      </left>
      <right style="thin">
        <color indexed="64"/>
      </right>
      <top style="thin">
        <color theme="3" tint="0.79998168889431442"/>
      </top>
      <bottom style="thin">
        <color indexed="64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indexed="64"/>
      </bottom>
      <diagonal/>
    </border>
    <border>
      <left/>
      <right style="thin">
        <color theme="3" tint="0.7999816888943144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3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3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3" tint="0.79998168889431442"/>
      </right>
      <top style="thin">
        <color indexed="64"/>
      </top>
      <bottom style="double">
        <color indexed="64"/>
      </bottom>
      <diagonal/>
    </border>
    <border>
      <left style="thin">
        <color theme="3" tint="0.79998168889431442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indexed="64"/>
      </right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3" tint="0.79998168889431442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0">
    <xf numFmtId="0" fontId="0" fillId="0" borderId="0" xfId="0"/>
    <xf numFmtId="0" fontId="2" fillId="0" borderId="0" xfId="0" applyFont="1"/>
    <xf numFmtId="8" fontId="3" fillId="4" borderId="0" xfId="0" applyNumberFormat="1" applyFont="1" applyFill="1"/>
    <xf numFmtId="0" fontId="3" fillId="4" borderId="0" xfId="0" applyFont="1" applyFill="1"/>
    <xf numFmtId="0" fontId="4" fillId="0" borderId="3" xfId="0" applyFont="1" applyBorder="1"/>
    <xf numFmtId="0" fontId="4" fillId="0" borderId="0" xfId="0" applyFont="1"/>
    <xf numFmtId="8" fontId="6" fillId="0" borderId="0" xfId="0" applyNumberFormat="1" applyFont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164" fontId="3" fillId="4" borderId="0" xfId="1" applyNumberFormat="1" applyFont="1" applyFill="1"/>
    <xf numFmtId="165" fontId="3" fillId="4" borderId="0" xfId="2" applyNumberFormat="1" applyFont="1" applyFill="1"/>
    <xf numFmtId="9" fontId="3" fillId="4" borderId="0" xfId="3" applyFont="1" applyFill="1"/>
    <xf numFmtId="9" fontId="11" fillId="4" borderId="0" xfId="3" applyFont="1" applyFill="1"/>
    <xf numFmtId="8" fontId="7" fillId="0" borderId="0" xfId="0" applyNumberFormat="1" applyFont="1"/>
    <xf numFmtId="0" fontId="6" fillId="0" borderId="0" xfId="0" applyFont="1"/>
    <xf numFmtId="0" fontId="13" fillId="0" borderId="0" xfId="0" applyFont="1" applyAlignment="1">
      <alignment horizontal="right"/>
    </xf>
    <xf numFmtId="8" fontId="3" fillId="4" borderId="4" xfId="0" applyNumberFormat="1" applyFont="1" applyFill="1" applyBorder="1"/>
    <xf numFmtId="8" fontId="12" fillId="0" borderId="4" xfId="0" applyNumberFormat="1" applyFont="1" applyBorder="1"/>
    <xf numFmtId="9" fontId="14" fillId="0" borderId="4" xfId="3" applyFont="1" applyFill="1" applyBorder="1"/>
    <xf numFmtId="164" fontId="0" fillId="0" borderId="0" xfId="1" applyNumberFormat="1" applyFont="1"/>
    <xf numFmtId="164" fontId="0" fillId="0" borderId="0" xfId="0" applyNumberFormat="1"/>
    <xf numFmtId="0" fontId="12" fillId="0" borderId="0" xfId="0" applyFont="1"/>
    <xf numFmtId="0" fontId="4" fillId="0" borderId="4" xfId="0" applyFont="1" applyBorder="1"/>
    <xf numFmtId="164" fontId="12" fillId="0" borderId="0" xfId="1" applyNumberFormat="1" applyFont="1" applyFill="1"/>
    <xf numFmtId="164" fontId="4" fillId="0" borderId="4" xfId="1" applyNumberFormat="1" applyFont="1" applyBorder="1"/>
    <xf numFmtId="0" fontId="4" fillId="0" borderId="3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16" fillId="0" borderId="0" xfId="0" applyFont="1"/>
    <xf numFmtId="0" fontId="2" fillId="8" borderId="0" xfId="0" applyFont="1" applyFill="1"/>
    <xf numFmtId="0" fontId="0" fillId="8" borderId="0" xfId="0" applyFill="1"/>
    <xf numFmtId="9" fontId="2" fillId="0" borderId="0" xfId="3" applyFont="1"/>
    <xf numFmtId="9" fontId="17" fillId="0" borderId="0" xfId="3" applyFont="1"/>
    <xf numFmtId="164" fontId="2" fillId="0" borderId="0" xfId="1" applyNumberFormat="1" applyFont="1"/>
    <xf numFmtId="14" fontId="0" fillId="0" borderId="0" xfId="0" applyNumberFormat="1"/>
    <xf numFmtId="0" fontId="15" fillId="0" borderId="0" xfId="0" applyFont="1"/>
    <xf numFmtId="0" fontId="15" fillId="8" borderId="0" xfId="0" applyFont="1" applyFill="1"/>
    <xf numFmtId="44" fontId="0" fillId="0" borderId="0" xfId="0" applyNumberFormat="1"/>
    <xf numFmtId="0" fontId="15" fillId="0" borderId="3" xfId="0" applyFont="1" applyBorder="1"/>
    <xf numFmtId="14" fontId="15" fillId="0" borderId="0" xfId="0" applyNumberFormat="1" applyFont="1"/>
    <xf numFmtId="14" fontId="3" fillId="4" borderId="0" xfId="0" applyNumberFormat="1" applyFont="1" applyFill="1" applyAlignment="1">
      <alignment horizontal="center"/>
    </xf>
    <xf numFmtId="8" fontId="2" fillId="0" borderId="0" xfId="0" applyNumberFormat="1" applyFont="1"/>
    <xf numFmtId="14" fontId="3" fillId="4" borderId="0" xfId="1" applyNumberFormat="1" applyFont="1" applyFill="1"/>
    <xf numFmtId="0" fontId="18" fillId="9" borderId="0" xfId="0" applyFont="1" applyFill="1"/>
    <xf numFmtId="0" fontId="2" fillId="9" borderId="0" xfId="0" applyFont="1" applyFill="1"/>
    <xf numFmtId="0" fontId="19" fillId="0" borderId="0" xfId="0" applyFont="1"/>
    <xf numFmtId="0" fontId="20" fillId="9" borderId="0" xfId="0" applyFont="1" applyFill="1"/>
    <xf numFmtId="14" fontId="2" fillId="0" borderId="0" xfId="0" applyNumberFormat="1" applyFont="1"/>
    <xf numFmtId="14" fontId="3" fillId="4" borderId="0" xfId="0" applyNumberFormat="1" applyFont="1" applyFill="1"/>
    <xf numFmtId="0" fontId="21" fillId="9" borderId="0" xfId="0" applyFont="1" applyFill="1"/>
    <xf numFmtId="0" fontId="22" fillId="0" borderId="0" xfId="0" applyFont="1"/>
    <xf numFmtId="6" fontId="2" fillId="0" borderId="0" xfId="0" applyNumberFormat="1" applyFont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4" fontId="6" fillId="0" borderId="0" xfId="1" applyNumberFormat="1" applyFont="1" applyAlignment="1">
      <alignment horizontal="center"/>
    </xf>
    <xf numFmtId="9" fontId="6" fillId="0" borderId="51" xfId="0" applyNumberFormat="1" applyFont="1" applyBorder="1" applyAlignment="1">
      <alignment horizontal="center"/>
    </xf>
    <xf numFmtId="9" fontId="6" fillId="0" borderId="47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1" applyNumberFormat="1" applyFont="1" applyAlignment="1">
      <alignment horizontal="center"/>
    </xf>
    <xf numFmtId="9" fontId="2" fillId="0" borderId="0" xfId="3" applyFont="1" applyAlignment="1">
      <alignment horizontal="center"/>
    </xf>
    <xf numFmtId="9" fontId="6" fillId="0" borderId="58" xfId="0" applyNumberFormat="1" applyFont="1" applyBorder="1" applyAlignment="1">
      <alignment horizontal="center"/>
    </xf>
    <xf numFmtId="43" fontId="2" fillId="0" borderId="0" xfId="1" applyFont="1" applyAlignment="1">
      <alignment horizontal="center"/>
    </xf>
    <xf numFmtId="0" fontId="2" fillId="0" borderId="0" xfId="0" applyFont="1" applyAlignment="1">
      <alignment vertic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6" fillId="0" borderId="2" xfId="0" applyNumberFormat="1" applyFont="1" applyBorder="1" applyAlignment="1">
      <alignment horizontal="center" vertical="center"/>
    </xf>
    <xf numFmtId="44" fontId="2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166" fontId="5" fillId="5" borderId="60" xfId="0" applyNumberFormat="1" applyFont="1" applyFill="1" applyBorder="1" applyAlignment="1">
      <alignment horizontal="center" vertical="center"/>
    </xf>
    <xf numFmtId="166" fontId="5" fillId="5" borderId="61" xfId="0" applyNumberFormat="1" applyFont="1" applyFill="1" applyBorder="1" applyAlignment="1">
      <alignment horizontal="center" vertical="center"/>
    </xf>
    <xf numFmtId="166" fontId="5" fillId="5" borderId="62" xfId="0" applyNumberFormat="1" applyFont="1" applyFill="1" applyBorder="1" applyAlignment="1">
      <alignment horizontal="center" vertical="center"/>
    </xf>
    <xf numFmtId="166" fontId="5" fillId="5" borderId="66" xfId="0" applyNumberFormat="1" applyFont="1" applyFill="1" applyBorder="1" applyAlignment="1">
      <alignment horizontal="center" vertical="center"/>
    </xf>
    <xf numFmtId="44" fontId="26" fillId="0" borderId="64" xfId="0" applyNumberFormat="1" applyFont="1" applyBorder="1" applyAlignment="1">
      <alignment horizontal="center" vertical="center"/>
    </xf>
    <xf numFmtId="44" fontId="26" fillId="0" borderId="3" xfId="0" applyNumberFormat="1" applyFont="1" applyBorder="1" applyAlignment="1">
      <alignment horizontal="center" vertical="center"/>
    </xf>
    <xf numFmtId="44" fontId="26" fillId="0" borderId="65" xfId="0" applyNumberFormat="1" applyFont="1" applyBorder="1" applyAlignment="1">
      <alignment horizontal="center" vertical="center"/>
    </xf>
    <xf numFmtId="1" fontId="26" fillId="0" borderId="64" xfId="0" applyNumberFormat="1" applyFont="1" applyBorder="1" applyAlignment="1">
      <alignment horizontal="center" vertical="center"/>
    </xf>
    <xf numFmtId="1" fontId="26" fillId="0" borderId="3" xfId="0" applyNumberFormat="1" applyFont="1" applyBorder="1" applyAlignment="1">
      <alignment horizontal="center" vertical="center"/>
    </xf>
    <xf numFmtId="1" fontId="26" fillId="0" borderId="65" xfId="0" applyNumberFormat="1" applyFont="1" applyBorder="1" applyAlignment="1">
      <alignment horizontal="center" vertical="center"/>
    </xf>
    <xf numFmtId="44" fontId="26" fillId="0" borderId="6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indent="2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9" fontId="6" fillId="0" borderId="50" xfId="3" applyFont="1" applyFill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7" xfId="1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 indent="2"/>
    </xf>
    <xf numFmtId="164" fontId="4" fillId="0" borderId="18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164" fontId="2" fillId="0" borderId="54" xfId="1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 indent="2"/>
    </xf>
    <xf numFmtId="164" fontId="6" fillId="0" borderId="35" xfId="1" applyNumberFormat="1" applyFont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 vertical="center"/>
    </xf>
    <xf numFmtId="164" fontId="6" fillId="0" borderId="33" xfId="1" applyNumberFormat="1" applyFont="1" applyBorder="1" applyAlignment="1">
      <alignment horizontal="center" vertical="center"/>
    </xf>
    <xf numFmtId="164" fontId="6" fillId="0" borderId="36" xfId="1" applyNumberFormat="1" applyFont="1" applyBorder="1" applyAlignment="1">
      <alignment horizontal="center" vertical="center"/>
    </xf>
    <xf numFmtId="164" fontId="6" fillId="0" borderId="37" xfId="1" applyNumberFormat="1" applyFont="1" applyBorder="1" applyAlignment="1">
      <alignment horizontal="center" vertical="center"/>
    </xf>
    <xf numFmtId="164" fontId="6" fillId="0" borderId="38" xfId="1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4" fillId="0" borderId="2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34" xfId="1" applyNumberFormat="1" applyFont="1" applyBorder="1" applyAlignment="1">
      <alignment horizontal="center" vertical="center"/>
    </xf>
    <xf numFmtId="164" fontId="4" fillId="0" borderId="29" xfId="1" applyNumberFormat="1" applyFont="1" applyBorder="1" applyAlignment="1">
      <alignment horizontal="center" vertical="center"/>
    </xf>
    <xf numFmtId="164" fontId="4" fillId="0" borderId="39" xfId="1" applyNumberFormat="1" applyFont="1" applyBorder="1" applyAlignment="1">
      <alignment horizontal="center" vertical="center"/>
    </xf>
    <xf numFmtId="0" fontId="27" fillId="0" borderId="0" xfId="0" applyFont="1" applyAlignment="1">
      <alignment horizontal="right" vertical="center" indent="2"/>
    </xf>
    <xf numFmtId="1" fontId="26" fillId="0" borderId="2" xfId="0" applyNumberFormat="1" applyFont="1" applyBorder="1" applyAlignment="1">
      <alignment horizontal="center" vertical="center"/>
    </xf>
    <xf numFmtId="165" fontId="4" fillId="6" borderId="45" xfId="1" applyNumberFormat="1" applyFont="1" applyFill="1" applyBorder="1" applyAlignment="1">
      <alignment horizontal="center" vertical="center"/>
    </xf>
    <xf numFmtId="165" fontId="4" fillId="6" borderId="43" xfId="1" applyNumberFormat="1" applyFont="1" applyFill="1" applyBorder="1" applyAlignment="1">
      <alignment horizontal="center" vertical="center"/>
    </xf>
    <xf numFmtId="165" fontId="4" fillId="6" borderId="46" xfId="1" applyNumberFormat="1" applyFont="1" applyFill="1" applyBorder="1" applyAlignment="1">
      <alignment horizontal="center" vertical="center"/>
    </xf>
    <xf numFmtId="165" fontId="4" fillId="6" borderId="30" xfId="1" applyNumberFormat="1" applyFont="1" applyFill="1" applyBorder="1" applyAlignment="1">
      <alignment horizontal="center" vertical="center"/>
    </xf>
    <xf numFmtId="165" fontId="4" fillId="6" borderId="44" xfId="1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54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5" fontId="4" fillId="3" borderId="45" xfId="2" applyNumberFormat="1" applyFont="1" applyFill="1" applyBorder="1" applyAlignment="1">
      <alignment horizontal="center" vertical="center"/>
    </xf>
    <xf numFmtId="165" fontId="4" fillId="3" borderId="43" xfId="2" applyNumberFormat="1" applyFont="1" applyFill="1" applyBorder="1" applyAlignment="1">
      <alignment horizontal="center" vertical="center"/>
    </xf>
    <xf numFmtId="165" fontId="4" fillId="3" borderId="46" xfId="2" applyNumberFormat="1" applyFont="1" applyFill="1" applyBorder="1" applyAlignment="1">
      <alignment horizontal="center" vertical="center"/>
    </xf>
    <xf numFmtId="165" fontId="4" fillId="3" borderId="30" xfId="2" applyNumberFormat="1" applyFont="1" applyFill="1" applyBorder="1" applyAlignment="1">
      <alignment horizontal="center" vertical="center"/>
    </xf>
    <xf numFmtId="165" fontId="4" fillId="3" borderId="44" xfId="2" applyNumberFormat="1" applyFont="1" applyFill="1" applyBorder="1" applyAlignment="1">
      <alignment horizontal="center" vertical="center"/>
    </xf>
    <xf numFmtId="165" fontId="4" fillId="3" borderId="41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9" fontId="6" fillId="0" borderId="0" xfId="3" applyFont="1" applyAlignment="1">
      <alignment horizontal="center" vertical="center"/>
    </xf>
    <xf numFmtId="165" fontId="4" fillId="6" borderId="18" xfId="2" applyNumberFormat="1" applyFont="1" applyFill="1" applyBorder="1" applyAlignment="1">
      <alignment horizontal="center" vertical="center"/>
    </xf>
    <xf numFmtId="165" fontId="4" fillId="6" borderId="6" xfId="2" applyNumberFormat="1" applyFont="1" applyFill="1" applyBorder="1" applyAlignment="1">
      <alignment horizontal="center" vertical="center"/>
    </xf>
    <xf numFmtId="165" fontId="4" fillId="6" borderId="19" xfId="2" applyNumberFormat="1" applyFont="1" applyFill="1" applyBorder="1" applyAlignment="1">
      <alignment horizontal="center" vertical="center"/>
    </xf>
    <xf numFmtId="165" fontId="4" fillId="6" borderId="10" xfId="2" applyNumberFormat="1" applyFont="1" applyFill="1" applyBorder="1" applyAlignment="1">
      <alignment horizontal="center" vertical="center"/>
    </xf>
    <xf numFmtId="0" fontId="28" fillId="2" borderId="0" xfId="0" applyFont="1" applyFill="1"/>
    <xf numFmtId="0" fontId="29" fillId="2" borderId="0" xfId="0" applyFont="1" applyFill="1" applyAlignment="1">
      <alignment vertical="top"/>
    </xf>
    <xf numFmtId="0" fontId="30" fillId="0" borderId="2" xfId="0" applyFont="1" applyBorder="1" applyAlignment="1">
      <alignment horizontal="left" vertical="center" indent="2"/>
    </xf>
    <xf numFmtId="165" fontId="2" fillId="0" borderId="13" xfId="2" applyNumberFormat="1" applyFont="1" applyBorder="1" applyAlignment="1">
      <alignment horizontal="center" vertical="center"/>
    </xf>
    <xf numFmtId="165" fontId="2" fillId="0" borderId="14" xfId="2" applyNumberFormat="1" applyFont="1" applyBorder="1" applyAlignment="1">
      <alignment horizontal="center" vertical="center"/>
    </xf>
    <xf numFmtId="165" fontId="2" fillId="0" borderId="15" xfId="2" applyNumberFormat="1" applyFont="1" applyBorder="1" applyAlignment="1">
      <alignment horizontal="center" vertical="center"/>
    </xf>
    <xf numFmtId="165" fontId="2" fillId="0" borderId="23" xfId="2" applyNumberFormat="1" applyFont="1" applyBorder="1" applyAlignment="1">
      <alignment horizontal="center" vertical="center"/>
    </xf>
    <xf numFmtId="165" fontId="2" fillId="0" borderId="20" xfId="2" applyNumberFormat="1" applyFont="1" applyBorder="1" applyAlignment="1">
      <alignment horizontal="center" vertical="center"/>
    </xf>
    <xf numFmtId="165" fontId="2" fillId="0" borderId="48" xfId="2" applyNumberFormat="1" applyFont="1" applyBorder="1" applyAlignment="1">
      <alignment horizontal="center" vertical="center"/>
    </xf>
    <xf numFmtId="165" fontId="2" fillId="0" borderId="16" xfId="2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65" fontId="2" fillId="0" borderId="17" xfId="2" applyNumberFormat="1" applyFont="1" applyBorder="1" applyAlignment="1">
      <alignment horizontal="center" vertical="center"/>
    </xf>
    <xf numFmtId="165" fontId="2" fillId="0" borderId="12" xfId="2" applyNumberFormat="1" applyFont="1" applyBorder="1" applyAlignment="1">
      <alignment horizontal="center" vertical="center"/>
    </xf>
    <xf numFmtId="165" fontId="2" fillId="0" borderId="21" xfId="2" applyNumberFormat="1" applyFont="1" applyBorder="1" applyAlignment="1">
      <alignment horizontal="center" vertical="center"/>
    </xf>
    <xf numFmtId="165" fontId="2" fillId="0" borderId="49" xfId="2" applyNumberFormat="1" applyFont="1" applyBorder="1" applyAlignment="1">
      <alignment horizontal="center" vertical="center"/>
    </xf>
    <xf numFmtId="165" fontId="4" fillId="0" borderId="18" xfId="2" applyNumberFormat="1" applyFont="1" applyBorder="1" applyAlignment="1">
      <alignment horizontal="center" vertical="center"/>
    </xf>
    <xf numFmtId="165" fontId="4" fillId="0" borderId="6" xfId="2" applyNumberFormat="1" applyFont="1" applyBorder="1" applyAlignment="1">
      <alignment horizontal="center" vertical="center"/>
    </xf>
    <xf numFmtId="165" fontId="4" fillId="0" borderId="19" xfId="2" applyNumberFormat="1" applyFont="1" applyBorder="1" applyAlignment="1">
      <alignment horizontal="center" vertical="center"/>
    </xf>
    <xf numFmtId="165" fontId="4" fillId="0" borderId="10" xfId="2" applyNumberFormat="1" applyFont="1" applyBorder="1" applyAlignment="1">
      <alignment horizontal="center" vertical="center"/>
    </xf>
    <xf numFmtId="165" fontId="2" fillId="0" borderId="11" xfId="2" applyNumberFormat="1" applyFont="1" applyBorder="1" applyAlignment="1">
      <alignment horizontal="center" vertical="center"/>
    </xf>
    <xf numFmtId="165" fontId="2" fillId="0" borderId="24" xfId="2" applyNumberFormat="1" applyFont="1" applyBorder="1" applyAlignment="1">
      <alignment horizontal="center" vertical="center"/>
    </xf>
    <xf numFmtId="165" fontId="2" fillId="0" borderId="8" xfId="2" applyNumberFormat="1" applyFont="1" applyBorder="1" applyAlignment="1">
      <alignment horizontal="center" vertical="center"/>
    </xf>
    <xf numFmtId="165" fontId="2" fillId="0" borderId="26" xfId="2" applyNumberFormat="1" applyFont="1" applyBorder="1" applyAlignment="1">
      <alignment horizontal="center" vertical="center"/>
    </xf>
    <xf numFmtId="165" fontId="6" fillId="0" borderId="50" xfId="2" applyNumberFormat="1" applyFont="1" applyFill="1" applyBorder="1" applyAlignment="1">
      <alignment horizontal="center" vertical="center"/>
    </xf>
    <xf numFmtId="165" fontId="6" fillId="0" borderId="51" xfId="2" applyNumberFormat="1" applyFont="1" applyBorder="1" applyAlignment="1">
      <alignment horizontal="center"/>
    </xf>
    <xf numFmtId="165" fontId="6" fillId="0" borderId="47" xfId="2" applyNumberFormat="1" applyFont="1" applyBorder="1" applyAlignment="1">
      <alignment horizontal="center"/>
    </xf>
    <xf numFmtId="165" fontId="4" fillId="0" borderId="31" xfId="2" applyNumberFormat="1" applyFont="1" applyBorder="1" applyAlignment="1">
      <alignment horizontal="center" vertical="center"/>
    </xf>
    <xf numFmtId="165" fontId="4" fillId="0" borderId="5" xfId="2" applyNumberFormat="1" applyFont="1" applyBorder="1" applyAlignment="1">
      <alignment horizontal="center" vertical="center"/>
    </xf>
    <xf numFmtId="165" fontId="4" fillId="0" borderId="32" xfId="2" applyNumberFormat="1" applyFont="1" applyBorder="1" applyAlignment="1">
      <alignment horizontal="center" vertical="center"/>
    </xf>
    <xf numFmtId="165" fontId="4" fillId="0" borderId="30" xfId="2" applyNumberFormat="1" applyFont="1" applyBorder="1" applyAlignment="1">
      <alignment horizontal="center" vertical="center"/>
    </xf>
    <xf numFmtId="165" fontId="2" fillId="0" borderId="25" xfId="2" applyNumberFormat="1" applyFont="1" applyBorder="1" applyAlignment="1">
      <alignment horizontal="center" vertical="center"/>
    </xf>
    <xf numFmtId="165" fontId="4" fillId="0" borderId="41" xfId="2" applyNumberFormat="1" applyFont="1" applyBorder="1" applyAlignment="1">
      <alignment horizontal="center" vertical="center"/>
    </xf>
    <xf numFmtId="165" fontId="4" fillId="0" borderId="4" xfId="2" applyNumberFormat="1" applyFont="1" applyBorder="1" applyAlignment="1">
      <alignment horizontal="center" vertical="center"/>
    </xf>
    <xf numFmtId="165" fontId="4" fillId="0" borderId="42" xfId="2" applyNumberFormat="1" applyFont="1" applyBorder="1" applyAlignment="1">
      <alignment horizontal="center" vertical="center"/>
    </xf>
    <xf numFmtId="165" fontId="2" fillId="0" borderId="22" xfId="2" applyNumberFormat="1" applyFont="1" applyBorder="1" applyAlignment="1">
      <alignment horizontal="center" vertical="center"/>
    </xf>
    <xf numFmtId="165" fontId="2" fillId="0" borderId="53" xfId="2" applyNumberFormat="1" applyFont="1" applyBorder="1" applyAlignment="1">
      <alignment horizontal="center" vertical="center"/>
    </xf>
    <xf numFmtId="165" fontId="2" fillId="0" borderId="54" xfId="2" applyNumberFormat="1" applyFont="1" applyBorder="1" applyAlignment="1">
      <alignment horizontal="center" vertical="center"/>
    </xf>
    <xf numFmtId="165" fontId="4" fillId="0" borderId="28" xfId="2" applyNumberFormat="1" applyFont="1" applyBorder="1" applyAlignment="1">
      <alignment horizontal="center" vertical="center"/>
    </xf>
    <xf numFmtId="165" fontId="4" fillId="0" borderId="9" xfId="2" applyNumberFormat="1" applyFont="1" applyBorder="1" applyAlignment="1">
      <alignment horizontal="center" vertical="center"/>
    </xf>
    <xf numFmtId="165" fontId="4" fillId="0" borderId="34" xfId="2" applyNumberFormat="1" applyFont="1" applyBorder="1" applyAlignment="1">
      <alignment horizontal="center" vertical="center"/>
    </xf>
    <xf numFmtId="165" fontId="4" fillId="0" borderId="29" xfId="2" applyNumberFormat="1" applyFont="1" applyBorder="1" applyAlignment="1">
      <alignment horizontal="center" vertical="center"/>
    </xf>
    <xf numFmtId="165" fontId="4" fillId="0" borderId="39" xfId="2" applyNumberFormat="1" applyFont="1" applyBorder="1" applyAlignment="1">
      <alignment horizontal="center" vertical="center"/>
    </xf>
    <xf numFmtId="165" fontId="2" fillId="0" borderId="0" xfId="2" applyNumberFormat="1" applyFont="1" applyAlignment="1">
      <alignment horizontal="center"/>
    </xf>
    <xf numFmtId="165" fontId="6" fillId="0" borderId="23" xfId="2" applyNumberFormat="1" applyFont="1" applyBorder="1" applyAlignment="1">
      <alignment horizontal="center" vertical="center"/>
    </xf>
    <xf numFmtId="165" fontId="6" fillId="0" borderId="14" xfId="2" applyNumberFormat="1" applyFont="1" applyBorder="1" applyAlignment="1">
      <alignment horizontal="center" vertical="center"/>
    </xf>
    <xf numFmtId="165" fontId="6" fillId="0" borderId="15" xfId="2" applyNumberFormat="1" applyFont="1" applyBorder="1" applyAlignment="1">
      <alignment horizontal="center" vertical="center"/>
    </xf>
    <xf numFmtId="165" fontId="6" fillId="0" borderId="20" xfId="2" applyNumberFormat="1" applyFont="1" applyBorder="1" applyAlignment="1">
      <alignment horizontal="center" vertical="center"/>
    </xf>
    <xf numFmtId="165" fontId="4" fillId="0" borderId="27" xfId="2" applyNumberFormat="1" applyFont="1" applyBorder="1" applyAlignment="1">
      <alignment horizontal="center" vertical="center"/>
    </xf>
    <xf numFmtId="165" fontId="4" fillId="7" borderId="45" xfId="2" applyNumberFormat="1" applyFont="1" applyFill="1" applyBorder="1" applyAlignment="1">
      <alignment horizontal="center" vertical="center"/>
    </xf>
    <xf numFmtId="165" fontId="4" fillId="7" borderId="43" xfId="2" applyNumberFormat="1" applyFont="1" applyFill="1" applyBorder="1" applyAlignment="1">
      <alignment horizontal="center" vertical="center"/>
    </xf>
    <xf numFmtId="165" fontId="4" fillId="7" borderId="46" xfId="2" applyNumberFormat="1" applyFont="1" applyFill="1" applyBorder="1" applyAlignment="1">
      <alignment horizontal="center" vertical="center"/>
    </xf>
    <xf numFmtId="165" fontId="4" fillId="7" borderId="30" xfId="2" applyNumberFormat="1" applyFont="1" applyFill="1" applyBorder="1" applyAlignment="1">
      <alignment horizontal="center" vertical="center"/>
    </xf>
    <xf numFmtId="165" fontId="4" fillId="7" borderId="44" xfId="2" applyNumberFormat="1" applyFont="1" applyFill="1" applyBorder="1" applyAlignment="1">
      <alignment horizontal="center" vertical="center"/>
    </xf>
    <xf numFmtId="165" fontId="2" fillId="0" borderId="0" xfId="2" applyNumberFormat="1" applyFont="1"/>
    <xf numFmtId="165" fontId="6" fillId="0" borderId="16" xfId="2" applyNumberFormat="1" applyFont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/>
    </xf>
    <xf numFmtId="165" fontId="6" fillId="0" borderId="11" xfId="2" applyNumberFormat="1" applyFont="1" applyBorder="1" applyAlignment="1">
      <alignment horizontal="center" vertical="center"/>
    </xf>
    <xf numFmtId="165" fontId="6" fillId="0" borderId="17" xfId="2" applyNumberFormat="1" applyFont="1" applyBorder="1" applyAlignment="1">
      <alignment horizontal="center" vertical="center"/>
    </xf>
    <xf numFmtId="165" fontId="6" fillId="0" borderId="12" xfId="2" applyNumberFormat="1" applyFont="1" applyBorder="1" applyAlignment="1">
      <alignment horizontal="center" vertical="center"/>
    </xf>
    <xf numFmtId="165" fontId="6" fillId="0" borderId="21" xfId="2" applyNumberFormat="1" applyFont="1" applyBorder="1" applyAlignment="1">
      <alignment horizontal="center" vertical="center"/>
    </xf>
    <xf numFmtId="165" fontId="4" fillId="0" borderId="40" xfId="2" applyNumberFormat="1" applyFont="1" applyBorder="1" applyAlignment="1">
      <alignment horizontal="center" vertical="center"/>
    </xf>
    <xf numFmtId="1" fontId="6" fillId="0" borderId="35" xfId="2" applyNumberFormat="1" applyFont="1" applyBorder="1" applyAlignment="1">
      <alignment horizontal="center" vertical="center"/>
    </xf>
    <xf numFmtId="1" fontId="6" fillId="0" borderId="7" xfId="2" applyNumberFormat="1" applyFont="1" applyBorder="1" applyAlignment="1">
      <alignment horizontal="center" vertical="center"/>
    </xf>
    <xf numFmtId="1" fontId="6" fillId="0" borderId="33" xfId="2" applyNumberFormat="1" applyFont="1" applyBorder="1" applyAlignment="1">
      <alignment horizontal="center" vertical="center"/>
    </xf>
    <xf numFmtId="1" fontId="6" fillId="0" borderId="36" xfId="2" applyNumberFormat="1" applyFont="1" applyBorder="1" applyAlignment="1">
      <alignment horizontal="center" vertical="center"/>
    </xf>
    <xf numFmtId="1" fontId="6" fillId="0" borderId="37" xfId="2" applyNumberFormat="1" applyFont="1" applyBorder="1" applyAlignment="1">
      <alignment horizontal="center" vertical="center"/>
    </xf>
    <xf numFmtId="1" fontId="6" fillId="0" borderId="38" xfId="2" applyNumberFormat="1" applyFont="1" applyBorder="1" applyAlignment="1">
      <alignment horizontal="center" vertical="center"/>
    </xf>
    <xf numFmtId="1" fontId="2" fillId="0" borderId="16" xfId="2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/>
    </xf>
    <xf numFmtId="1" fontId="2" fillId="0" borderId="17" xfId="2" applyNumberFormat="1" applyFont="1" applyBorder="1" applyAlignment="1">
      <alignment horizontal="center" vertical="center"/>
    </xf>
    <xf numFmtId="1" fontId="2" fillId="0" borderId="54" xfId="2" applyNumberFormat="1" applyFont="1" applyBorder="1" applyAlignment="1">
      <alignment horizontal="center" vertical="center"/>
    </xf>
    <xf numFmtId="164" fontId="2" fillId="0" borderId="35" xfId="1" applyNumberFormat="1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4" fontId="2" fillId="0" borderId="36" xfId="1" applyNumberFormat="1" applyFont="1" applyBorder="1" applyAlignment="1">
      <alignment horizontal="center" vertical="center"/>
    </xf>
    <xf numFmtId="164" fontId="2" fillId="0" borderId="37" xfId="1" applyNumberFormat="1" applyFont="1" applyBorder="1" applyAlignment="1">
      <alignment horizontal="center" vertical="center"/>
    </xf>
    <xf numFmtId="164" fontId="2" fillId="0" borderId="38" xfId="1" applyNumberFormat="1" applyFont="1" applyBorder="1" applyAlignment="1">
      <alignment horizontal="center" vertical="center"/>
    </xf>
    <xf numFmtId="165" fontId="2" fillId="0" borderId="60" xfId="2" applyNumberFormat="1" applyFont="1" applyBorder="1" applyAlignment="1">
      <alignment horizontal="center" vertical="center"/>
    </xf>
    <xf numFmtId="165" fontId="2" fillId="0" borderId="61" xfId="2" applyNumberFormat="1" applyFont="1" applyBorder="1" applyAlignment="1">
      <alignment horizontal="center" vertical="center"/>
    </xf>
    <xf numFmtId="165" fontId="2" fillId="0" borderId="62" xfId="2" applyNumberFormat="1" applyFont="1" applyBorder="1" applyAlignment="1">
      <alignment horizontal="center" vertical="center"/>
    </xf>
    <xf numFmtId="165" fontId="2" fillId="0" borderId="66" xfId="2" applyNumberFormat="1" applyFont="1" applyBorder="1" applyAlignment="1">
      <alignment horizontal="center" vertical="center"/>
    </xf>
    <xf numFmtId="165" fontId="2" fillId="0" borderId="63" xfId="2" applyNumberFormat="1" applyFont="1" applyBorder="1" applyAlignment="1">
      <alignment horizontal="center" vertical="center"/>
    </xf>
    <xf numFmtId="165" fontId="2" fillId="0" borderId="0" xfId="2" applyNumberFormat="1" applyFont="1" applyBorder="1" applyAlignment="1">
      <alignment horizontal="center" vertical="center"/>
    </xf>
    <xf numFmtId="165" fontId="2" fillId="0" borderId="59" xfId="2" applyNumberFormat="1" applyFont="1" applyBorder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165" fontId="2" fillId="0" borderId="67" xfId="2" applyNumberFormat="1" applyFont="1" applyBorder="1" applyAlignment="1">
      <alignment horizontal="center" vertical="center"/>
    </xf>
    <xf numFmtId="165" fontId="2" fillId="0" borderId="64" xfId="2" applyNumberFormat="1" applyFont="1" applyBorder="1" applyAlignment="1">
      <alignment horizontal="center" vertical="center"/>
    </xf>
    <xf numFmtId="165" fontId="2" fillId="0" borderId="3" xfId="2" applyNumberFormat="1" applyFont="1" applyBorder="1" applyAlignment="1">
      <alignment horizontal="center" vertical="center"/>
    </xf>
    <xf numFmtId="165" fontId="2" fillId="0" borderId="65" xfId="2" applyNumberFormat="1" applyFont="1" applyBorder="1" applyAlignment="1">
      <alignment horizontal="center" vertical="center"/>
    </xf>
    <xf numFmtId="165" fontId="2" fillId="0" borderId="68" xfId="2" applyNumberFormat="1" applyFont="1" applyBorder="1" applyAlignment="1">
      <alignment horizontal="center" vertical="center"/>
    </xf>
    <xf numFmtId="165" fontId="4" fillId="10" borderId="41" xfId="2" applyNumberFormat="1" applyFont="1" applyFill="1" applyBorder="1" applyAlignment="1">
      <alignment horizontal="center" vertical="center"/>
    </xf>
    <xf numFmtId="165" fontId="4" fillId="10" borderId="4" xfId="2" applyNumberFormat="1" applyFont="1" applyFill="1" applyBorder="1" applyAlignment="1">
      <alignment horizontal="center" vertical="center"/>
    </xf>
    <xf numFmtId="165" fontId="4" fillId="10" borderId="42" xfId="2" applyNumberFormat="1" applyFont="1" applyFill="1" applyBorder="1" applyAlignment="1">
      <alignment horizontal="center" vertical="center"/>
    </xf>
    <xf numFmtId="165" fontId="4" fillId="10" borderId="30" xfId="2" applyNumberFormat="1" applyFont="1" applyFill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9" fontId="6" fillId="0" borderId="55" xfId="0" applyNumberFormat="1" applyFont="1" applyBorder="1" applyAlignment="1">
      <alignment horizontal="center"/>
    </xf>
    <xf numFmtId="9" fontId="6" fillId="0" borderId="56" xfId="0" applyNumberFormat="1" applyFont="1" applyBorder="1" applyAlignment="1">
      <alignment horizontal="center"/>
    </xf>
    <xf numFmtId="9" fontId="6" fillId="0" borderId="57" xfId="0" applyNumberFormat="1" applyFont="1" applyBorder="1" applyAlignment="1">
      <alignment horizontal="center"/>
    </xf>
    <xf numFmtId="9" fontId="6" fillId="0" borderId="50" xfId="0" applyNumberFormat="1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9" fontId="6" fillId="0" borderId="52" xfId="0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9" fontId="6" fillId="0" borderId="66" xfId="0" applyNumberFormat="1" applyFont="1" applyBorder="1" applyAlignment="1">
      <alignment horizontal="center"/>
    </xf>
    <xf numFmtId="9" fontId="6" fillId="0" borderId="67" xfId="0" applyNumberFormat="1" applyFont="1" applyBorder="1" applyAlignment="1">
      <alignment horizontal="center"/>
    </xf>
    <xf numFmtId="9" fontId="13" fillId="0" borderId="10" xfId="0" applyNumberFormat="1" applyFont="1" applyBorder="1" applyAlignment="1">
      <alignment horizontal="center"/>
    </xf>
    <xf numFmtId="9" fontId="13" fillId="0" borderId="0" xfId="0" applyNumberFormat="1" applyFont="1" applyAlignment="1">
      <alignment horizontal="center"/>
    </xf>
    <xf numFmtId="9" fontId="6" fillId="0" borderId="66" xfId="1" applyNumberFormat="1" applyFont="1" applyBorder="1" applyAlignment="1">
      <alignment horizontal="center" vertical="center"/>
    </xf>
    <xf numFmtId="9" fontId="6" fillId="0" borderId="67" xfId="1" applyNumberFormat="1" applyFont="1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7246-9484-42E7-9492-5242D18AE1E9}">
  <dimension ref="A1:AF200"/>
  <sheetViews>
    <sheetView showGridLines="0" tabSelected="1" zoomScale="73" zoomScaleNormal="100" workbookViewId="0">
      <selection activeCell="O177" sqref="O177"/>
    </sheetView>
  </sheetViews>
  <sheetFormatPr defaultColWidth="8.88671875" defaultRowHeight="15" x14ac:dyDescent="0.25"/>
  <cols>
    <col min="1" max="1" width="26.88671875" style="1" customWidth="1"/>
    <col min="2" max="2" width="13.6640625" style="1" bestFit="1" customWidth="1"/>
    <col min="3" max="3" width="14.109375" style="1" bestFit="1" customWidth="1"/>
    <col min="4" max="4" width="14.21875" style="1" bestFit="1" customWidth="1"/>
    <col min="5" max="5" width="9.21875" style="1" bestFit="1" customWidth="1"/>
    <col min="6" max="6" width="9.88671875" style="1" bestFit="1" customWidth="1"/>
    <col min="7" max="7" width="22.21875" style="1" bestFit="1" customWidth="1"/>
    <col min="8" max="16384" width="8.88671875" style="1"/>
  </cols>
  <sheetData>
    <row r="1" spans="1:32" ht="18.75" x14ac:dyDescent="0.3">
      <c r="A1" s="46" t="s">
        <v>141</v>
      </c>
      <c r="B1" s="47"/>
      <c r="C1" s="47"/>
    </row>
    <row r="2" spans="1:32" x14ac:dyDescent="0.25">
      <c r="A2" s="5" t="s">
        <v>142</v>
      </c>
      <c r="B2" s="43">
        <v>45809</v>
      </c>
    </row>
    <row r="3" spans="1:32" x14ac:dyDescent="0.25">
      <c r="A3" s="5" t="s">
        <v>143</v>
      </c>
      <c r="B3" s="43" t="s">
        <v>136</v>
      </c>
      <c r="C3" s="48"/>
    </row>
    <row r="4" spans="1:32" s="9" customFormat="1" ht="23.25" x14ac:dyDescent="0.35">
      <c r="A4" s="7" t="s">
        <v>23</v>
      </c>
    </row>
    <row r="5" spans="1:32" customFormat="1" ht="15.75" x14ac:dyDescent="0.3"/>
    <row r="6" spans="1:32" ht="15.75" x14ac:dyDescent="0.3">
      <c r="A6" s="249" t="s">
        <v>22</v>
      </c>
      <c r="B6" s="249"/>
      <c r="C6" s="249"/>
      <c r="D6" s="249"/>
      <c r="E6" s="249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15.75" x14ac:dyDescent="0.3">
      <c r="A7" s="4"/>
      <c r="B7" s="4" t="s">
        <v>18</v>
      </c>
      <c r="C7" s="4" t="s">
        <v>19</v>
      </c>
      <c r="D7" s="4" t="s">
        <v>21</v>
      </c>
      <c r="E7" s="4" t="s">
        <v>20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15.75" x14ac:dyDescent="0.3">
      <c r="A8" s="5" t="s">
        <v>37</v>
      </c>
      <c r="B8" s="5"/>
      <c r="C8" s="5"/>
      <c r="D8" s="5"/>
      <c r="E8" s="5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15.75" x14ac:dyDescent="0.3">
      <c r="A9" s="1" t="s">
        <v>5</v>
      </c>
      <c r="B9" s="14">
        <f>C9*(1+$E9)</f>
        <v>7.7099999999999991</v>
      </c>
      <c r="C9" s="2">
        <f>INDEX('Unit Costs'!$C$5:$C$42,MATCH(Assumptions!$A9,'Unit Costs'!$B$5:$B$42,0))</f>
        <v>5.14</v>
      </c>
      <c r="D9" s="6">
        <f>B9-C9</f>
        <v>2.5699999999999994</v>
      </c>
      <c r="E9" s="13">
        <v>0.5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ht="15.75" x14ac:dyDescent="0.3">
      <c r="A10" s="1" t="s">
        <v>7</v>
      </c>
      <c r="B10" s="14">
        <f t="shared" ref="B10:B37" si="0">C10*(1+$E10)</f>
        <v>0</v>
      </c>
      <c r="C10" s="2">
        <f>INDEX('Unit Costs'!$C$5:$C$42,MATCH(Assumptions!$A10,'Unit Costs'!$B$5:$B$42,0))</f>
        <v>0</v>
      </c>
      <c r="D10" s="6">
        <f t="shared" ref="D10:D37" si="1">B10-C10</f>
        <v>0</v>
      </c>
      <c r="E10" s="13">
        <v>0.5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ht="15.75" x14ac:dyDescent="0.3">
      <c r="A11" s="1" t="s">
        <v>9</v>
      </c>
      <c r="B11" s="14">
        <f t="shared" si="0"/>
        <v>9.2249999999999996</v>
      </c>
      <c r="C11" s="2">
        <f>INDEX('Unit Costs'!$C$5:$C$42,MATCH(Assumptions!$A11,'Unit Costs'!$B$5:$B$42,0))</f>
        <v>6.1499999999999995</v>
      </c>
      <c r="D11" s="6">
        <f t="shared" si="1"/>
        <v>3.0750000000000002</v>
      </c>
      <c r="E11" s="13">
        <v>0.5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ht="15.75" x14ac:dyDescent="0.3">
      <c r="A12" s="1" t="s">
        <v>12</v>
      </c>
      <c r="B12" s="14">
        <f t="shared" si="0"/>
        <v>8.76</v>
      </c>
      <c r="C12" s="2">
        <f>INDEX('Unit Costs'!$C$5:$C$42,MATCH(Assumptions!$A12,'Unit Costs'!$B$5:$B$42,0))</f>
        <v>5.84</v>
      </c>
      <c r="D12" s="6">
        <f t="shared" si="1"/>
        <v>2.92</v>
      </c>
      <c r="E12" s="13">
        <v>0.5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ht="15.75" x14ac:dyDescent="0.3">
      <c r="A13" s="1" t="s">
        <v>15</v>
      </c>
      <c r="B13" s="14">
        <f t="shared" si="0"/>
        <v>1.71</v>
      </c>
      <c r="C13" s="2">
        <f>INDEX('Unit Costs'!$C$5:$C$42,MATCH(Assumptions!$A13,'Unit Costs'!$B$5:$B$42,0))</f>
        <v>1.1399999999999999</v>
      </c>
      <c r="D13" s="6">
        <f t="shared" si="1"/>
        <v>0.57000000000000006</v>
      </c>
      <c r="E13" s="13">
        <v>0.5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6.5" thickBot="1" x14ac:dyDescent="0.35">
      <c r="A14" s="16" t="s">
        <v>39</v>
      </c>
      <c r="B14" s="18">
        <f>SUM(B9:B13)</f>
        <v>27.405000000000001</v>
      </c>
      <c r="C14" s="17">
        <f>SUM(C9:C13)</f>
        <v>18.27</v>
      </c>
      <c r="D14" s="18">
        <f>SUM(D9:D13)</f>
        <v>9.1349999999999998</v>
      </c>
      <c r="E14" s="19">
        <f>D14/C14</f>
        <v>0.5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6.5" thickTop="1" x14ac:dyDescent="0.3">
      <c r="A15" s="15"/>
      <c r="B15"/>
      <c r="C15"/>
      <c r="D15"/>
      <c r="E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ht="14.25" customHeight="1" x14ac:dyDescent="0.3">
      <c r="A16" s="5" t="s">
        <v>38</v>
      </c>
      <c r="B16"/>
      <c r="C16"/>
      <c r="D16"/>
      <c r="E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ht="15.75" x14ac:dyDescent="0.3">
      <c r="A17" s="1" t="s">
        <v>6</v>
      </c>
      <c r="B17" s="14">
        <f t="shared" si="0"/>
        <v>6</v>
      </c>
      <c r="C17" s="2">
        <f>INDEX('Unit Costs'!$C$5:$C$42,MATCH(Assumptions!$A17,'Unit Costs'!$B$5:$B$42,0))</f>
        <v>4</v>
      </c>
      <c r="D17" s="6">
        <f t="shared" si="1"/>
        <v>2</v>
      </c>
      <c r="E17" s="13">
        <v>0.5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ht="15.75" x14ac:dyDescent="0.3">
      <c r="A18" s="1" t="s">
        <v>8</v>
      </c>
      <c r="B18" s="14">
        <f t="shared" si="0"/>
        <v>0</v>
      </c>
      <c r="C18" s="2">
        <f>INDEX('Unit Costs'!$C$5:$C$42,MATCH(Assumptions!$A18,'Unit Costs'!$B$5:$B$42,0))</f>
        <v>0</v>
      </c>
      <c r="D18" s="6">
        <f t="shared" si="1"/>
        <v>0</v>
      </c>
      <c r="E18" s="13">
        <v>0.5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ht="15.75" x14ac:dyDescent="0.3">
      <c r="A19" s="1" t="s">
        <v>10</v>
      </c>
      <c r="B19" s="14">
        <f t="shared" si="0"/>
        <v>10.5</v>
      </c>
      <c r="C19" s="2">
        <f>INDEX('Unit Costs'!$C$5:$C$42,MATCH(Assumptions!$A19,'Unit Costs'!$B$5:$B$42,0))</f>
        <v>7</v>
      </c>
      <c r="D19" s="6">
        <f t="shared" si="1"/>
        <v>3.5</v>
      </c>
      <c r="E19" s="13">
        <v>0.5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ht="15.75" x14ac:dyDescent="0.3">
      <c r="A20" s="1" t="s">
        <v>13</v>
      </c>
      <c r="B20" s="14">
        <f t="shared" si="0"/>
        <v>4.5</v>
      </c>
      <c r="C20" s="2">
        <f>INDEX('Unit Costs'!$C$5:$C$42,MATCH(Assumptions!$A20,'Unit Costs'!$B$5:$B$42,0))</f>
        <v>3</v>
      </c>
      <c r="D20" s="6">
        <f t="shared" si="1"/>
        <v>1.5</v>
      </c>
      <c r="E20" s="13">
        <v>0.5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ht="15.75" x14ac:dyDescent="0.3">
      <c r="A21" s="1" t="s">
        <v>15</v>
      </c>
      <c r="B21" s="14">
        <f t="shared" si="0"/>
        <v>1.71</v>
      </c>
      <c r="C21" s="2">
        <f>INDEX('Unit Costs'!$C$5:$C$42,MATCH(Assumptions!$A21,'Unit Costs'!$B$5:$B$42,0))</f>
        <v>1.1399999999999999</v>
      </c>
      <c r="D21" s="6">
        <f t="shared" si="1"/>
        <v>0.57000000000000006</v>
      </c>
      <c r="E21" s="13">
        <v>0.5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ht="16.5" thickBot="1" x14ac:dyDescent="0.35">
      <c r="A22" s="16" t="s">
        <v>40</v>
      </c>
      <c r="B22" s="18">
        <f>SUM(B17:B21)</f>
        <v>22.71</v>
      </c>
      <c r="C22" s="17">
        <f>SUM(C17:C21)</f>
        <v>15.14</v>
      </c>
      <c r="D22" s="18">
        <f>SUM(D17:D21)</f>
        <v>7.57</v>
      </c>
      <c r="E22" s="19">
        <f>D22/C22</f>
        <v>0.5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ht="16.5" thickTop="1" x14ac:dyDescent="0.3">
      <c r="B23"/>
      <c r="C23"/>
      <c r="D23"/>
      <c r="E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ht="15.75" x14ac:dyDescent="0.3">
      <c r="A24" s="5" t="s">
        <v>44</v>
      </c>
      <c r="B24"/>
      <c r="C24"/>
      <c r="D24"/>
      <c r="E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ht="15.75" x14ac:dyDescent="0.3">
      <c r="A25" s="1" t="s">
        <v>99</v>
      </c>
      <c r="B25" s="14">
        <f t="shared" si="0"/>
        <v>13.5</v>
      </c>
      <c r="C25" s="2">
        <f>INDEX('Unit Costs'!$C$5:$C$42,MATCH(Assumptions!$A25,'Unit Costs'!$B$5:$B$42,0))</f>
        <v>9</v>
      </c>
      <c r="D25" s="6">
        <f t="shared" si="1"/>
        <v>4.5</v>
      </c>
      <c r="E25" s="13">
        <v>0.5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ht="15.75" x14ac:dyDescent="0.3">
      <c r="A26" s="1" t="s">
        <v>100</v>
      </c>
      <c r="B26" s="14">
        <f t="shared" si="0"/>
        <v>0</v>
      </c>
      <c r="C26" s="2">
        <f>INDEX('Unit Costs'!$C$5:$C$42,MATCH(Assumptions!$A26,'Unit Costs'!$B$5:$B$42,0))</f>
        <v>0</v>
      </c>
      <c r="D26" s="6">
        <f t="shared" si="1"/>
        <v>0</v>
      </c>
      <c r="E26" s="13">
        <v>0.5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ht="15.75" x14ac:dyDescent="0.3">
      <c r="A27" s="1" t="s">
        <v>11</v>
      </c>
      <c r="B27" s="14">
        <f t="shared" si="0"/>
        <v>10.5</v>
      </c>
      <c r="C27" s="2">
        <f>INDEX('Unit Costs'!$C$5:$C$42,MATCH(Assumptions!$A27,'Unit Costs'!$B$5:$B$42,0))</f>
        <v>7</v>
      </c>
      <c r="D27" s="6">
        <f t="shared" si="1"/>
        <v>3.5</v>
      </c>
      <c r="E27" s="13">
        <v>0.5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ht="15.75" x14ac:dyDescent="0.3">
      <c r="A28" s="1" t="s">
        <v>14</v>
      </c>
      <c r="B28" s="14">
        <f t="shared" si="0"/>
        <v>10.5</v>
      </c>
      <c r="C28" s="2">
        <f>INDEX('Unit Costs'!$C$5:$C$42,MATCH(Assumptions!$A28,'Unit Costs'!$B$5:$B$42,0))</f>
        <v>7</v>
      </c>
      <c r="D28" s="6">
        <f t="shared" si="1"/>
        <v>3.5</v>
      </c>
      <c r="E28" s="13">
        <v>0.5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ht="15.75" x14ac:dyDescent="0.3">
      <c r="A29" s="1" t="s">
        <v>16</v>
      </c>
      <c r="B29" s="14">
        <f t="shared" si="0"/>
        <v>4.5</v>
      </c>
      <c r="C29" s="2">
        <f>INDEX('Unit Costs'!$C$5:$C$42,MATCH(Assumptions!$A29,'Unit Costs'!$B$5:$B$42,0))</f>
        <v>3</v>
      </c>
      <c r="D29" s="6">
        <f t="shared" si="1"/>
        <v>1.5</v>
      </c>
      <c r="E29" s="13">
        <v>0.5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ht="16.5" thickBot="1" x14ac:dyDescent="0.35">
      <c r="A30" s="16" t="s">
        <v>41</v>
      </c>
      <c r="B30" s="18">
        <f>SUM(B25:B29)</f>
        <v>39</v>
      </c>
      <c r="C30" s="17">
        <f>SUM(C25:C29)</f>
        <v>26</v>
      </c>
      <c r="D30" s="18">
        <f>SUM(D25:D29)</f>
        <v>13</v>
      </c>
      <c r="E30" s="19">
        <f>D30/C30</f>
        <v>0.5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ht="16.5" thickTop="1" x14ac:dyDescent="0.3">
      <c r="B31"/>
      <c r="C31"/>
      <c r="D31"/>
      <c r="E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ht="15.75" x14ac:dyDescent="0.3">
      <c r="A32" s="5" t="s">
        <v>43</v>
      </c>
      <c r="B32"/>
      <c r="C32"/>
      <c r="D32"/>
      <c r="E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ht="15.75" x14ac:dyDescent="0.3">
      <c r="A33" s="1" t="s">
        <v>111</v>
      </c>
      <c r="B33" s="14">
        <f t="shared" si="0"/>
        <v>15</v>
      </c>
      <c r="C33" s="2">
        <f>INDEX('Unit Costs'!$C$5:$C$42,MATCH(Assumptions!$A33,'Unit Costs'!$B$5:$B$42,0))</f>
        <v>10</v>
      </c>
      <c r="D33" s="6">
        <f t="shared" si="1"/>
        <v>5</v>
      </c>
      <c r="E33" s="13">
        <v>0.5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ht="15.75" x14ac:dyDescent="0.3">
      <c r="A34" s="1" t="s">
        <v>112</v>
      </c>
      <c r="B34" s="14">
        <f t="shared" si="0"/>
        <v>0</v>
      </c>
      <c r="C34" s="2">
        <f>INDEX('Unit Costs'!$C$5:$C$42,MATCH(Assumptions!$A34,'Unit Costs'!$B$5:$B$42,0))</f>
        <v>0</v>
      </c>
      <c r="D34" s="6">
        <f t="shared" si="1"/>
        <v>0</v>
      </c>
      <c r="E34" s="13">
        <v>0.5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ht="15.75" x14ac:dyDescent="0.3">
      <c r="A35" s="1" t="s">
        <v>113</v>
      </c>
      <c r="B35" s="14">
        <f t="shared" si="0"/>
        <v>10.5</v>
      </c>
      <c r="C35" s="2">
        <f>INDEX('Unit Costs'!$C$5:$C$42,MATCH(Assumptions!$A35,'Unit Costs'!$B$5:$B$42,0))</f>
        <v>7</v>
      </c>
      <c r="D35" s="6">
        <f t="shared" si="1"/>
        <v>3.5</v>
      </c>
      <c r="E35" s="13">
        <v>0.5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ht="15.75" x14ac:dyDescent="0.3">
      <c r="A36" s="1" t="s">
        <v>114</v>
      </c>
      <c r="B36" s="14">
        <f t="shared" si="0"/>
        <v>13.5</v>
      </c>
      <c r="C36" s="2">
        <f>INDEX('Unit Costs'!$C$5:$C$42,MATCH(Assumptions!$A36,'Unit Costs'!$B$5:$B$42,0))</f>
        <v>9</v>
      </c>
      <c r="D36" s="6">
        <f t="shared" si="1"/>
        <v>4.5</v>
      </c>
      <c r="E36" s="13">
        <v>0.5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ht="15.75" x14ac:dyDescent="0.3">
      <c r="A37" s="1" t="s">
        <v>17</v>
      </c>
      <c r="B37" s="14">
        <f t="shared" si="0"/>
        <v>12</v>
      </c>
      <c r="C37" s="2">
        <f>INDEX('Unit Costs'!$C$5:$C$42,MATCH(Assumptions!$A37,'Unit Costs'!$B$5:$B$42,0))</f>
        <v>8</v>
      </c>
      <c r="D37" s="6">
        <f t="shared" si="1"/>
        <v>4</v>
      </c>
      <c r="E37" s="13">
        <v>0.5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ht="16.5" thickBot="1" x14ac:dyDescent="0.35">
      <c r="A38" s="16" t="s">
        <v>42</v>
      </c>
      <c r="B38" s="18">
        <f>SUM(B33:B37)</f>
        <v>51</v>
      </c>
      <c r="C38" s="17">
        <f>SUM(C33:C37)</f>
        <v>34</v>
      </c>
      <c r="D38" s="18">
        <f>SUM(D33:D37)</f>
        <v>17</v>
      </c>
      <c r="E38" s="19">
        <f>D38/C38</f>
        <v>0.5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ht="16.5" thickTop="1" x14ac:dyDescent="0.3">
      <c r="B39"/>
      <c r="C39"/>
      <c r="D39"/>
      <c r="E39"/>
    </row>
    <row r="40" spans="1:32" ht="15.75" x14ac:dyDescent="0.3">
      <c r="A40" s="5" t="s">
        <v>130</v>
      </c>
      <c r="B40"/>
      <c r="C40"/>
      <c r="D40"/>
      <c r="E40"/>
    </row>
    <row r="41" spans="1:32" x14ac:dyDescent="0.25">
      <c r="A41" s="1" t="s">
        <v>115</v>
      </c>
      <c r="B41" s="14">
        <f t="shared" ref="B41:B45" si="2">C41*(1+$E41)</f>
        <v>13.064999999999998</v>
      </c>
      <c r="C41" s="2">
        <f>INDEX('Unit Costs'!$C$5:$C$42,MATCH(Assumptions!$A41,'Unit Costs'!$B$5:$B$42,0))</f>
        <v>8.7099999999999991</v>
      </c>
      <c r="D41" s="6">
        <f t="shared" ref="D41:D45" si="3">B41-C41</f>
        <v>4.3549999999999986</v>
      </c>
      <c r="E41" s="13">
        <v>0.5</v>
      </c>
    </row>
    <row r="42" spans="1:32" x14ac:dyDescent="0.25">
      <c r="A42" s="1" t="s">
        <v>116</v>
      </c>
      <c r="B42" s="14">
        <f t="shared" si="2"/>
        <v>0</v>
      </c>
      <c r="C42" s="2">
        <f>INDEX('Unit Costs'!$C$5:$C$42,MATCH(Assumptions!$A42,'Unit Costs'!$B$5:$B$42,0))</f>
        <v>0</v>
      </c>
      <c r="D42" s="6">
        <f t="shared" si="3"/>
        <v>0</v>
      </c>
      <c r="E42" s="13">
        <v>0.5</v>
      </c>
    </row>
    <row r="43" spans="1:32" x14ac:dyDescent="0.25">
      <c r="A43" s="1" t="s">
        <v>118</v>
      </c>
      <c r="B43" s="14">
        <f t="shared" si="2"/>
        <v>0</v>
      </c>
      <c r="C43" s="2">
        <f>INDEX('Unit Costs'!$C$5:$C$42,MATCH(Assumptions!$A43,'Unit Costs'!$B$5:$B$42,0))</f>
        <v>0</v>
      </c>
      <c r="D43" s="6">
        <f t="shared" si="3"/>
        <v>0</v>
      </c>
      <c r="E43" s="13">
        <v>0.5</v>
      </c>
    </row>
    <row r="44" spans="1:32" x14ac:dyDescent="0.25">
      <c r="A44" s="1" t="s">
        <v>117</v>
      </c>
      <c r="B44" s="14">
        <f t="shared" si="2"/>
        <v>0</v>
      </c>
      <c r="C44" s="2">
        <f>INDEX('Unit Costs'!$C$5:$C$42,MATCH(Assumptions!$A44,'Unit Costs'!$B$5:$B$42,0))</f>
        <v>0</v>
      </c>
      <c r="D44" s="6">
        <f t="shared" si="3"/>
        <v>0</v>
      </c>
      <c r="E44" s="13">
        <v>0.5</v>
      </c>
    </row>
    <row r="45" spans="1:32" x14ac:dyDescent="0.25">
      <c r="A45" s="1" t="s">
        <v>109</v>
      </c>
      <c r="B45" s="14">
        <f t="shared" si="2"/>
        <v>0</v>
      </c>
      <c r="C45" s="2">
        <f>INDEX('Unit Costs'!$C$5:$C$42,MATCH(Assumptions!$A45,'Unit Costs'!$B$5:$B$42,0))</f>
        <v>0</v>
      </c>
      <c r="D45" s="6">
        <f t="shared" si="3"/>
        <v>0</v>
      </c>
      <c r="E45" s="13">
        <v>0.5</v>
      </c>
    </row>
    <row r="46" spans="1:32" ht="15.75" thickBot="1" x14ac:dyDescent="0.3">
      <c r="A46" s="16" t="s">
        <v>110</v>
      </c>
      <c r="B46" s="18">
        <f>SUM(B41:B45)</f>
        <v>13.064999999999998</v>
      </c>
      <c r="C46" s="17">
        <f>SUM(C41:C45)</f>
        <v>8.7099999999999991</v>
      </c>
      <c r="D46" s="18">
        <f>SUM(D41:D45)</f>
        <v>4.3549999999999986</v>
      </c>
      <c r="E46" s="19">
        <f>D46/C46</f>
        <v>0.49999999999999989</v>
      </c>
    </row>
    <row r="47" spans="1:32" ht="15.75" thickTop="1" x14ac:dyDescent="0.25">
      <c r="A47" s="16"/>
    </row>
    <row r="48" spans="1:32" s="8" customFormat="1" ht="23.25" x14ac:dyDescent="0.35">
      <c r="A48" s="7" t="s">
        <v>29</v>
      </c>
    </row>
    <row r="50" spans="1:7" ht="18.75" x14ac:dyDescent="0.3">
      <c r="A50" s="31" t="s">
        <v>32</v>
      </c>
      <c r="B50" s="26" t="s">
        <v>107</v>
      </c>
      <c r="C50" s="26" t="s">
        <v>108</v>
      </c>
      <c r="D50"/>
    </row>
    <row r="51" spans="1:7" x14ac:dyDescent="0.25">
      <c r="A51" s="1" t="s">
        <v>105</v>
      </c>
      <c r="B51" s="27">
        <v>5</v>
      </c>
      <c r="C51" s="28">
        <f>B53</f>
        <v>7</v>
      </c>
    </row>
    <row r="52" spans="1:7" x14ac:dyDescent="0.25">
      <c r="A52" s="1" t="s">
        <v>61</v>
      </c>
      <c r="B52" s="27">
        <v>2</v>
      </c>
      <c r="C52" s="27">
        <v>5</v>
      </c>
    </row>
    <row r="53" spans="1:7" x14ac:dyDescent="0.25">
      <c r="A53" s="1" t="s">
        <v>106</v>
      </c>
      <c r="B53" s="29">
        <f>SUM(B51:B52)</f>
        <v>7</v>
      </c>
      <c r="C53" s="30">
        <f>SUM(C51:C52)</f>
        <v>12</v>
      </c>
      <c r="D53" s="34"/>
    </row>
    <row r="54" spans="1:7" x14ac:dyDescent="0.25">
      <c r="A54" s="1" t="s">
        <v>119</v>
      </c>
      <c r="B54" s="27">
        <v>2</v>
      </c>
      <c r="C54" s="27">
        <v>9</v>
      </c>
      <c r="D54" s="34"/>
    </row>
    <row r="55" spans="1:7" ht="15.75" x14ac:dyDescent="0.3">
      <c r="B55" s="35"/>
      <c r="C55" s="35"/>
    </row>
    <row r="56" spans="1:7" x14ac:dyDescent="0.25">
      <c r="A56" s="1" t="s">
        <v>35</v>
      </c>
      <c r="B56" s="22">
        <f>C65</f>
        <v>150</v>
      </c>
    </row>
    <row r="57" spans="1:7" x14ac:dyDescent="0.25">
      <c r="A57" s="1" t="s">
        <v>30</v>
      </c>
      <c r="B57" s="3">
        <v>1</v>
      </c>
    </row>
    <row r="58" spans="1:7" x14ac:dyDescent="0.25">
      <c r="A58" s="1" t="s">
        <v>104</v>
      </c>
      <c r="B58" s="3">
        <v>6</v>
      </c>
    </row>
    <row r="59" spans="1:7" ht="15.75" x14ac:dyDescent="0.3">
      <c r="B59" s="26" t="s">
        <v>36</v>
      </c>
      <c r="C59" s="26" t="s">
        <v>101</v>
      </c>
      <c r="D59" s="26" t="s">
        <v>103</v>
      </c>
      <c r="E59" s="26" t="s">
        <v>102</v>
      </c>
      <c r="G59"/>
    </row>
    <row r="60" spans="1:7" ht="15.75" x14ac:dyDescent="0.3">
      <c r="A60" s="1" t="s">
        <v>45</v>
      </c>
      <c r="B60" s="3">
        <v>1</v>
      </c>
      <c r="C60" s="3">
        <v>25</v>
      </c>
      <c r="D60" s="3">
        <v>3</v>
      </c>
      <c r="E60" s="24">
        <f>C60*B60*D60</f>
        <v>75</v>
      </c>
      <c r="F60" s="36"/>
      <c r="G60" s="20"/>
    </row>
    <row r="61" spans="1:7" ht="15.75" x14ac:dyDescent="0.3">
      <c r="A61" s="1" t="s">
        <v>46</v>
      </c>
      <c r="B61" s="3">
        <v>0</v>
      </c>
      <c r="C61" s="3">
        <v>0</v>
      </c>
      <c r="D61" s="3">
        <v>0</v>
      </c>
      <c r="E61" s="24">
        <f t="shared" ref="E61:E64" si="4">C61*B61*D61</f>
        <v>0</v>
      </c>
      <c r="G61" s="20"/>
    </row>
    <row r="62" spans="1:7" ht="15.75" x14ac:dyDescent="0.3">
      <c r="A62" s="1" t="s">
        <v>47</v>
      </c>
      <c r="B62" s="3">
        <v>2</v>
      </c>
      <c r="C62" s="3">
        <v>100</v>
      </c>
      <c r="D62" s="3">
        <v>3</v>
      </c>
      <c r="E62" s="24">
        <f t="shared" si="4"/>
        <v>600</v>
      </c>
      <c r="G62"/>
    </row>
    <row r="63" spans="1:7" ht="15.75" x14ac:dyDescent="0.3">
      <c r="A63" s="1" t="s">
        <v>48</v>
      </c>
      <c r="B63" s="3">
        <v>1</v>
      </c>
      <c r="C63" s="3">
        <v>25</v>
      </c>
      <c r="D63" s="3">
        <v>3</v>
      </c>
      <c r="E63" s="24">
        <f t="shared" si="4"/>
        <v>75</v>
      </c>
      <c r="G63"/>
    </row>
    <row r="64" spans="1:7" ht="15.75" x14ac:dyDescent="0.3">
      <c r="A64" s="1" t="s">
        <v>49</v>
      </c>
      <c r="B64" s="3">
        <v>0</v>
      </c>
      <c r="C64" s="3">
        <v>0</v>
      </c>
      <c r="D64" s="3">
        <v>0</v>
      </c>
      <c r="E64" s="24">
        <f t="shared" si="4"/>
        <v>0</v>
      </c>
      <c r="G64"/>
    </row>
    <row r="65" spans="1:7" ht="16.5" thickBot="1" x14ac:dyDescent="0.35">
      <c r="A65" s="5" t="s">
        <v>0</v>
      </c>
      <c r="B65" s="23">
        <f t="shared" ref="B65:C65" si="5">SUM(B60:B64)</f>
        <v>4</v>
      </c>
      <c r="C65" s="23">
        <f t="shared" si="5"/>
        <v>150</v>
      </c>
      <c r="D65" s="23">
        <f>SUM(D60:D64)</f>
        <v>9</v>
      </c>
      <c r="E65" s="25">
        <f>SUM(E60:E64)</f>
        <v>750</v>
      </c>
      <c r="G65"/>
    </row>
    <row r="66" spans="1:7" ht="15.75" thickTop="1" x14ac:dyDescent="0.25"/>
    <row r="67" spans="1:7" x14ac:dyDescent="0.25">
      <c r="A67" s="1" t="s">
        <v>62</v>
      </c>
      <c r="B67" s="13">
        <v>-0.1</v>
      </c>
    </row>
    <row r="68" spans="1:7" ht="15.75" x14ac:dyDescent="0.3">
      <c r="A68" s="32"/>
      <c r="B68" s="33"/>
      <c r="C68" s="32"/>
      <c r="D68" s="32"/>
      <c r="E68" s="32"/>
      <c r="F68" s="32"/>
    </row>
    <row r="69" spans="1:7" ht="18.75" x14ac:dyDescent="0.3">
      <c r="A69" s="31" t="s">
        <v>33</v>
      </c>
      <c r="B69" s="26" t="s">
        <v>107</v>
      </c>
      <c r="C69" s="26" t="s">
        <v>108</v>
      </c>
    </row>
    <row r="70" spans="1:7" x14ac:dyDescent="0.25">
      <c r="A70" s="1" t="s">
        <v>105</v>
      </c>
      <c r="B70" s="27">
        <v>1</v>
      </c>
      <c r="C70" s="28">
        <f>B72</f>
        <v>2</v>
      </c>
    </row>
    <row r="71" spans="1:7" x14ac:dyDescent="0.25">
      <c r="A71" s="1" t="s">
        <v>61</v>
      </c>
      <c r="B71" s="27">
        <v>1</v>
      </c>
      <c r="C71" s="27">
        <v>0</v>
      </c>
    </row>
    <row r="72" spans="1:7" x14ac:dyDescent="0.25">
      <c r="A72" s="1" t="s">
        <v>106</v>
      </c>
      <c r="B72" s="29">
        <f>SUM(B70:B71)</f>
        <v>2</v>
      </c>
      <c r="C72" s="30">
        <f>SUM(C70:C71)</f>
        <v>2</v>
      </c>
    </row>
    <row r="73" spans="1:7" ht="15.75" x14ac:dyDescent="0.3">
      <c r="A73"/>
      <c r="B73"/>
      <c r="C73"/>
    </row>
    <row r="74" spans="1:7" x14ac:dyDescent="0.25">
      <c r="A74" s="1" t="s">
        <v>35</v>
      </c>
      <c r="B74" s="22">
        <f>C83</f>
        <v>150</v>
      </c>
    </row>
    <row r="75" spans="1:7" x14ac:dyDescent="0.25">
      <c r="A75" s="1" t="s">
        <v>30</v>
      </c>
      <c r="B75" s="3">
        <v>1</v>
      </c>
    </row>
    <row r="76" spans="1:7" x14ac:dyDescent="0.25">
      <c r="A76" s="1" t="s">
        <v>104</v>
      </c>
      <c r="B76" s="3">
        <v>4</v>
      </c>
    </row>
    <row r="77" spans="1:7" x14ac:dyDescent="0.25">
      <c r="B77" s="26" t="s">
        <v>36</v>
      </c>
      <c r="C77" s="26" t="s">
        <v>101</v>
      </c>
      <c r="D77" s="26" t="s">
        <v>103</v>
      </c>
      <c r="E77" s="26" t="s">
        <v>102</v>
      </c>
    </row>
    <row r="78" spans="1:7" x14ac:dyDescent="0.25">
      <c r="A78" s="1" t="s">
        <v>45</v>
      </c>
      <c r="B78" s="3">
        <v>1</v>
      </c>
      <c r="C78" s="3">
        <v>25</v>
      </c>
      <c r="D78" s="3">
        <v>3</v>
      </c>
      <c r="E78" s="24">
        <f>C78*B78*D78</f>
        <v>75</v>
      </c>
    </row>
    <row r="79" spans="1:7" x14ac:dyDescent="0.25">
      <c r="A79" s="1" t="s">
        <v>46</v>
      </c>
      <c r="B79" s="3">
        <v>1</v>
      </c>
      <c r="C79" s="3">
        <v>0</v>
      </c>
      <c r="D79" s="3">
        <v>0</v>
      </c>
      <c r="E79" s="24">
        <f t="shared" ref="E79:E82" si="6">C79*B79*D79</f>
        <v>0</v>
      </c>
    </row>
    <row r="80" spans="1:7" x14ac:dyDescent="0.25">
      <c r="A80" s="1" t="s">
        <v>47</v>
      </c>
      <c r="B80" s="3">
        <v>2</v>
      </c>
      <c r="C80" s="3">
        <v>100</v>
      </c>
      <c r="D80" s="3">
        <v>3</v>
      </c>
      <c r="E80" s="24">
        <f t="shared" si="6"/>
        <v>600</v>
      </c>
    </row>
    <row r="81" spans="1:6" x14ac:dyDescent="0.25">
      <c r="A81" s="1" t="s">
        <v>48</v>
      </c>
      <c r="B81" s="3">
        <v>1</v>
      </c>
      <c r="C81" s="3">
        <v>25</v>
      </c>
      <c r="D81" s="3">
        <v>3</v>
      </c>
      <c r="E81" s="24">
        <f t="shared" si="6"/>
        <v>75</v>
      </c>
    </row>
    <row r="82" spans="1:6" x14ac:dyDescent="0.25">
      <c r="A82" s="1" t="s">
        <v>49</v>
      </c>
      <c r="B82" s="3">
        <v>1</v>
      </c>
      <c r="C82" s="3">
        <v>0</v>
      </c>
      <c r="D82" s="3">
        <v>0</v>
      </c>
      <c r="E82" s="24">
        <f t="shared" si="6"/>
        <v>0</v>
      </c>
    </row>
    <row r="83" spans="1:6" ht="15.75" thickBot="1" x14ac:dyDescent="0.3">
      <c r="A83" s="5" t="s">
        <v>0</v>
      </c>
      <c r="B83" s="23">
        <f t="shared" ref="B83:C83" si="7">SUM(B78:B82)</f>
        <v>6</v>
      </c>
      <c r="C83" s="23">
        <f t="shared" si="7"/>
        <v>150</v>
      </c>
      <c r="D83" s="23">
        <f>SUM(D78:D82)</f>
        <v>9</v>
      </c>
      <c r="E83" s="25">
        <f>SUM(E78:E82)</f>
        <v>750</v>
      </c>
    </row>
    <row r="84" spans="1:6" ht="15.75" thickTop="1" x14ac:dyDescent="0.25"/>
    <row r="85" spans="1:6" x14ac:dyDescent="0.25">
      <c r="A85" s="1" t="s">
        <v>62</v>
      </c>
      <c r="B85" s="13">
        <v>-0.1</v>
      </c>
    </row>
    <row r="86" spans="1:6" customFormat="1" ht="15.75" x14ac:dyDescent="0.3">
      <c r="A86" s="33"/>
      <c r="B86" s="33"/>
      <c r="C86" s="33"/>
      <c r="D86" s="33"/>
      <c r="E86" s="33"/>
      <c r="F86" s="33"/>
    </row>
    <row r="87" spans="1:6" customFormat="1" ht="18.75" x14ac:dyDescent="0.3">
      <c r="A87" s="31" t="s">
        <v>34</v>
      </c>
      <c r="B87" s="26" t="s">
        <v>107</v>
      </c>
      <c r="C87" s="26" t="s">
        <v>108</v>
      </c>
      <c r="D87" s="1"/>
      <c r="E87" s="1"/>
    </row>
    <row r="88" spans="1:6" customFormat="1" ht="15.75" x14ac:dyDescent="0.3">
      <c r="A88" s="1" t="s">
        <v>105</v>
      </c>
      <c r="B88" s="27">
        <v>1</v>
      </c>
      <c r="C88" s="28">
        <f>B90</f>
        <v>2</v>
      </c>
      <c r="D88" s="1"/>
      <c r="E88" s="1"/>
    </row>
    <row r="89" spans="1:6" customFormat="1" ht="15.75" x14ac:dyDescent="0.3">
      <c r="A89" s="1" t="s">
        <v>61</v>
      </c>
      <c r="B89" s="27">
        <v>1</v>
      </c>
      <c r="C89" s="27">
        <v>1</v>
      </c>
      <c r="D89" s="1"/>
      <c r="E89" s="1"/>
    </row>
    <row r="90" spans="1:6" customFormat="1" ht="15.75" x14ac:dyDescent="0.3">
      <c r="A90" s="1" t="s">
        <v>106</v>
      </c>
      <c r="B90" s="29">
        <f>SUM(B88:B89)</f>
        <v>2</v>
      </c>
      <c r="C90" s="30">
        <f>SUM(C88:C89)</f>
        <v>3</v>
      </c>
      <c r="D90" s="1"/>
      <c r="E90" s="1"/>
    </row>
    <row r="91" spans="1:6" customFormat="1" ht="15.75" x14ac:dyDescent="0.3">
      <c r="D91" s="1"/>
      <c r="E91" s="1"/>
    </row>
    <row r="92" spans="1:6" customFormat="1" ht="15.75" x14ac:dyDescent="0.3">
      <c r="A92" s="1" t="s">
        <v>35</v>
      </c>
      <c r="B92" s="22">
        <f>C101</f>
        <v>150</v>
      </c>
      <c r="C92" s="1"/>
      <c r="D92" s="1"/>
      <c r="E92" s="1"/>
    </row>
    <row r="93" spans="1:6" customFormat="1" ht="15.75" x14ac:dyDescent="0.3">
      <c r="A93" s="1" t="s">
        <v>30</v>
      </c>
      <c r="B93" s="3">
        <v>1</v>
      </c>
      <c r="C93" s="1"/>
      <c r="D93" s="1"/>
      <c r="E93" s="1"/>
    </row>
    <row r="94" spans="1:6" customFormat="1" ht="15.75" x14ac:dyDescent="0.3">
      <c r="A94" s="1" t="s">
        <v>104</v>
      </c>
      <c r="B94" s="3">
        <v>6</v>
      </c>
      <c r="C94" s="1"/>
      <c r="D94" s="1"/>
      <c r="E94" s="1"/>
    </row>
    <row r="95" spans="1:6" x14ac:dyDescent="0.25">
      <c r="B95" s="26" t="s">
        <v>36</v>
      </c>
      <c r="C95" s="26" t="s">
        <v>101</v>
      </c>
      <c r="D95" s="26" t="s">
        <v>103</v>
      </c>
      <c r="E95" s="26" t="s">
        <v>102</v>
      </c>
    </row>
    <row r="96" spans="1:6" x14ac:dyDescent="0.25">
      <c r="A96" s="1" t="s">
        <v>45</v>
      </c>
      <c r="B96" s="3">
        <v>1</v>
      </c>
      <c r="C96" s="3">
        <v>25</v>
      </c>
      <c r="D96" s="3">
        <v>3</v>
      </c>
      <c r="E96" s="24">
        <f>C96*B96*D96</f>
        <v>75</v>
      </c>
    </row>
    <row r="97" spans="1:7" x14ac:dyDescent="0.25">
      <c r="A97" s="1" t="s">
        <v>46</v>
      </c>
      <c r="B97" s="3">
        <v>1</v>
      </c>
      <c r="C97" s="3">
        <v>0</v>
      </c>
      <c r="D97" s="3">
        <v>0</v>
      </c>
      <c r="E97" s="24">
        <f t="shared" ref="E97:E100" si="8">C97*B97*D97</f>
        <v>0</v>
      </c>
    </row>
    <row r="98" spans="1:7" x14ac:dyDescent="0.25">
      <c r="A98" s="1" t="s">
        <v>47</v>
      </c>
      <c r="B98" s="3">
        <v>2</v>
      </c>
      <c r="C98" s="3">
        <v>100</v>
      </c>
      <c r="D98" s="3">
        <v>3</v>
      </c>
      <c r="E98" s="24">
        <f t="shared" si="8"/>
        <v>600</v>
      </c>
    </row>
    <row r="99" spans="1:7" x14ac:dyDescent="0.25">
      <c r="A99" s="1" t="s">
        <v>48</v>
      </c>
      <c r="B99" s="3">
        <v>1</v>
      </c>
      <c r="C99" s="3">
        <v>25</v>
      </c>
      <c r="D99" s="3">
        <v>3</v>
      </c>
      <c r="E99" s="24">
        <f t="shared" si="8"/>
        <v>75</v>
      </c>
    </row>
    <row r="100" spans="1:7" x14ac:dyDescent="0.25">
      <c r="A100" s="1" t="s">
        <v>49</v>
      </c>
      <c r="B100" s="3">
        <v>1</v>
      </c>
      <c r="C100" s="3">
        <v>0</v>
      </c>
      <c r="D100" s="3">
        <v>0</v>
      </c>
      <c r="E100" s="24">
        <f t="shared" si="8"/>
        <v>0</v>
      </c>
    </row>
    <row r="101" spans="1:7" ht="15.75" thickBot="1" x14ac:dyDescent="0.3">
      <c r="A101" s="5" t="s">
        <v>0</v>
      </c>
      <c r="B101" s="23">
        <f t="shared" ref="B101:C101" si="9">SUM(B96:B100)</f>
        <v>6</v>
      </c>
      <c r="C101" s="23">
        <f t="shared" si="9"/>
        <v>150</v>
      </c>
      <c r="D101" s="23">
        <f>SUM(D96:D100)</f>
        <v>9</v>
      </c>
      <c r="E101" s="25">
        <f>SUM(E96:E100)</f>
        <v>750</v>
      </c>
    </row>
    <row r="102" spans="1:7" ht="15.75" thickTop="1" x14ac:dyDescent="0.25"/>
    <row r="103" spans="1:7" x14ac:dyDescent="0.25">
      <c r="A103" s="1" t="s">
        <v>62</v>
      </c>
      <c r="B103" s="13">
        <v>-0.1</v>
      </c>
    </row>
    <row r="104" spans="1:7" ht="15.75" x14ac:dyDescent="0.3">
      <c r="A104"/>
      <c r="B104"/>
      <c r="C104"/>
    </row>
    <row r="105" spans="1:7" s="8" customFormat="1" ht="23.25" x14ac:dyDescent="0.35">
      <c r="A105" s="7" t="s">
        <v>60</v>
      </c>
    </row>
    <row r="106" spans="1:7" customFormat="1" ht="15.75" x14ac:dyDescent="0.3">
      <c r="A106" s="38" t="s">
        <v>4</v>
      </c>
      <c r="B106" s="45">
        <v>45901</v>
      </c>
    </row>
    <row r="107" spans="1:7" x14ac:dyDescent="0.25">
      <c r="B107" s="5" t="s">
        <v>73</v>
      </c>
      <c r="C107" s="5" t="s">
        <v>74</v>
      </c>
      <c r="D107" s="5" t="s">
        <v>75</v>
      </c>
      <c r="E107" s="5" t="s">
        <v>139</v>
      </c>
    </row>
    <row r="108" spans="1:7" ht="15.75" x14ac:dyDescent="0.3">
      <c r="A108" s="1" t="s">
        <v>45</v>
      </c>
      <c r="B108" s="10">
        <v>5</v>
      </c>
      <c r="C108" s="13">
        <v>0.1</v>
      </c>
      <c r="D108" s="13">
        <v>-0.02</v>
      </c>
      <c r="E108" s="13">
        <v>0.8</v>
      </c>
      <c r="F108"/>
    </row>
    <row r="109" spans="1:7" x14ac:dyDescent="0.25">
      <c r="A109" s="1" t="s">
        <v>46</v>
      </c>
      <c r="B109" s="10">
        <v>5</v>
      </c>
      <c r="C109" s="13">
        <v>0.05</v>
      </c>
      <c r="D109" s="13">
        <v>-0.02</v>
      </c>
      <c r="E109" s="13">
        <v>0.8</v>
      </c>
    </row>
    <row r="110" spans="1:7" x14ac:dyDescent="0.25">
      <c r="A110" s="1" t="s">
        <v>47</v>
      </c>
      <c r="B110" s="10">
        <v>5</v>
      </c>
      <c r="C110" s="13">
        <v>0.05</v>
      </c>
      <c r="D110" s="13">
        <v>-0.02</v>
      </c>
      <c r="E110" s="13">
        <v>0.8</v>
      </c>
      <c r="G110" s="44"/>
    </row>
    <row r="111" spans="1:7" x14ac:dyDescent="0.25">
      <c r="A111" s="1" t="s">
        <v>48</v>
      </c>
      <c r="B111" s="10">
        <v>5</v>
      </c>
      <c r="C111" s="13">
        <v>0.05</v>
      </c>
      <c r="D111" s="13">
        <v>-0.02</v>
      </c>
      <c r="E111" s="13">
        <v>0.8</v>
      </c>
      <c r="G111" s="44"/>
    </row>
    <row r="112" spans="1:7" x14ac:dyDescent="0.25">
      <c r="A112" s="1" t="s">
        <v>49</v>
      </c>
      <c r="B112" s="10">
        <v>5</v>
      </c>
      <c r="C112" s="13">
        <v>0.05</v>
      </c>
      <c r="D112" s="13">
        <v>-0.02</v>
      </c>
      <c r="E112" s="13">
        <v>0.8</v>
      </c>
    </row>
    <row r="117" spans="1:3" s="8" customFormat="1" ht="23.25" x14ac:dyDescent="0.35">
      <c r="A117" s="7" t="s">
        <v>24</v>
      </c>
    </row>
    <row r="118" spans="1:3" customFormat="1" ht="15.75" x14ac:dyDescent="0.3">
      <c r="A118" s="38" t="s">
        <v>4</v>
      </c>
      <c r="B118" s="45">
        <v>45809</v>
      </c>
    </row>
    <row r="119" spans="1:3" x14ac:dyDescent="0.25">
      <c r="A119" s="5" t="s">
        <v>27</v>
      </c>
    </row>
    <row r="120" spans="1:3" x14ac:dyDescent="0.25">
      <c r="A120" s="1" t="s">
        <v>140</v>
      </c>
      <c r="B120" s="11">
        <v>10000</v>
      </c>
    </row>
    <row r="121" spans="1:3" x14ac:dyDescent="0.25">
      <c r="A121" s="1" t="s">
        <v>26</v>
      </c>
      <c r="B121" s="12">
        <v>0.05</v>
      </c>
      <c r="C121" s="1" t="s">
        <v>144</v>
      </c>
    </row>
    <row r="122" spans="1:3" x14ac:dyDescent="0.25">
      <c r="A122" s="1" t="s">
        <v>131</v>
      </c>
      <c r="B122" s="10">
        <v>500</v>
      </c>
    </row>
    <row r="123" spans="1:3" x14ac:dyDescent="0.25">
      <c r="A123" s="1" t="s">
        <v>69</v>
      </c>
      <c r="B123" s="10">
        <v>1</v>
      </c>
    </row>
    <row r="124" spans="1:3" ht="15.75" x14ac:dyDescent="0.3">
      <c r="B124"/>
    </row>
    <row r="125" spans="1:3" ht="15.75" x14ac:dyDescent="0.3">
      <c r="A125" s="38" t="s">
        <v>4</v>
      </c>
      <c r="B125" s="45">
        <v>45962</v>
      </c>
    </row>
    <row r="126" spans="1:3" x14ac:dyDescent="0.25">
      <c r="A126" s="5" t="s">
        <v>28</v>
      </c>
    </row>
    <row r="127" spans="1:3" x14ac:dyDescent="0.25">
      <c r="A127" s="1" t="s">
        <v>26</v>
      </c>
      <c r="B127" s="12">
        <v>0.05</v>
      </c>
      <c r="C127" s="1" t="s">
        <v>144</v>
      </c>
    </row>
    <row r="128" spans="1:3" x14ac:dyDescent="0.25">
      <c r="A128" s="1" t="s">
        <v>68</v>
      </c>
      <c r="B128" s="10">
        <v>500</v>
      </c>
    </row>
    <row r="129" spans="1:7" x14ac:dyDescent="0.25">
      <c r="A129" s="1" t="s">
        <v>69</v>
      </c>
      <c r="B129" s="10">
        <v>2</v>
      </c>
    </row>
    <row r="131" spans="1:7" s="8" customFormat="1" ht="23.25" x14ac:dyDescent="0.35">
      <c r="A131" s="7" t="s">
        <v>145</v>
      </c>
    </row>
    <row r="132" spans="1:7" x14ac:dyDescent="0.25">
      <c r="A132" s="52" t="s">
        <v>161</v>
      </c>
      <c r="B132" s="47"/>
      <c r="C132" s="47"/>
      <c r="D132" s="47"/>
      <c r="E132" s="47"/>
      <c r="F132" s="47"/>
    </row>
    <row r="133" spans="1:7" ht="21" x14ac:dyDescent="0.35">
      <c r="A133" s="53" t="s">
        <v>146</v>
      </c>
    </row>
    <row r="134" spans="1:7" x14ac:dyDescent="0.25">
      <c r="A134" s="5" t="s">
        <v>146</v>
      </c>
      <c r="B134" s="5" t="s">
        <v>149</v>
      </c>
      <c r="C134" s="5" t="s">
        <v>150</v>
      </c>
      <c r="D134" s="5" t="s">
        <v>155</v>
      </c>
      <c r="E134" s="5" t="s">
        <v>125</v>
      </c>
      <c r="F134" s="5" t="s">
        <v>151</v>
      </c>
      <c r="G134" s="5" t="s">
        <v>152</v>
      </c>
    </row>
    <row r="135" spans="1:7" x14ac:dyDescent="0.25">
      <c r="A135" s="3" t="s">
        <v>166</v>
      </c>
      <c r="B135" s="2">
        <v>15</v>
      </c>
      <c r="C135" s="27">
        <v>1</v>
      </c>
      <c r="D135" s="27" t="s">
        <v>153</v>
      </c>
      <c r="E135" s="51">
        <v>45962</v>
      </c>
      <c r="F135" s="50">
        <f>IF($D135="Annual",EDATE(E135,12),"")</f>
        <v>46327</v>
      </c>
    </row>
    <row r="136" spans="1:7" x14ac:dyDescent="0.25">
      <c r="A136" s="3" t="s">
        <v>168</v>
      </c>
      <c r="B136" s="2">
        <v>225</v>
      </c>
      <c r="C136" s="27">
        <v>1</v>
      </c>
      <c r="D136" s="27" t="s">
        <v>153</v>
      </c>
      <c r="E136" s="51">
        <v>45809</v>
      </c>
      <c r="F136" s="50">
        <f t="shared" ref="F136:F155" si="10">IF($D136="Annual",EDATE(E136,12),"")</f>
        <v>46174</v>
      </c>
    </row>
    <row r="137" spans="1:7" x14ac:dyDescent="0.25">
      <c r="A137" s="3" t="s">
        <v>167</v>
      </c>
      <c r="B137" s="2">
        <v>223.96</v>
      </c>
      <c r="C137" s="27">
        <v>1</v>
      </c>
      <c r="D137" s="27" t="s">
        <v>153</v>
      </c>
      <c r="E137" s="51">
        <v>45809</v>
      </c>
      <c r="F137" s="50">
        <f t="shared" si="10"/>
        <v>46174</v>
      </c>
    </row>
    <row r="138" spans="1:7" x14ac:dyDescent="0.25">
      <c r="A138" s="3" t="s">
        <v>169</v>
      </c>
      <c r="B138" s="2">
        <v>4</v>
      </c>
      <c r="C138" s="27">
        <v>4</v>
      </c>
      <c r="D138" s="27" t="s">
        <v>154</v>
      </c>
      <c r="E138" s="51">
        <v>45809</v>
      </c>
      <c r="F138" s="50" t="str">
        <f t="shared" si="10"/>
        <v/>
      </c>
    </row>
    <row r="139" spans="1:7" x14ac:dyDescent="0.25">
      <c r="A139" s="3" t="s">
        <v>170</v>
      </c>
      <c r="B139" s="2">
        <v>20</v>
      </c>
      <c r="C139" s="27">
        <v>1</v>
      </c>
      <c r="D139" s="27" t="s">
        <v>154</v>
      </c>
      <c r="E139" s="51">
        <v>45809</v>
      </c>
      <c r="F139" s="50" t="str">
        <f t="shared" si="10"/>
        <v/>
      </c>
    </row>
    <row r="140" spans="1:7" x14ac:dyDescent="0.25">
      <c r="A140" s="3" t="s">
        <v>171</v>
      </c>
      <c r="B140" s="2">
        <v>50</v>
      </c>
      <c r="C140" s="27">
        <v>1</v>
      </c>
      <c r="D140" s="27" t="s">
        <v>153</v>
      </c>
      <c r="E140" s="51">
        <v>45809</v>
      </c>
      <c r="F140" s="50">
        <f t="shared" si="10"/>
        <v>46174</v>
      </c>
    </row>
    <row r="141" spans="1:7" x14ac:dyDescent="0.25">
      <c r="A141" s="3" t="s">
        <v>172</v>
      </c>
      <c r="B141" s="2">
        <v>15.35</v>
      </c>
      <c r="C141" s="27">
        <v>1</v>
      </c>
      <c r="D141" s="27" t="s">
        <v>154</v>
      </c>
      <c r="E141" s="51">
        <v>45809</v>
      </c>
      <c r="F141" s="50" t="str">
        <f t="shared" si="10"/>
        <v/>
      </c>
    </row>
    <row r="142" spans="1:7" x14ac:dyDescent="0.25">
      <c r="A142" s="3" t="s">
        <v>173</v>
      </c>
      <c r="B142" s="2">
        <v>68</v>
      </c>
      <c r="C142" s="27">
        <v>5</v>
      </c>
      <c r="D142" s="27" t="s">
        <v>153</v>
      </c>
      <c r="E142" s="51">
        <v>45809</v>
      </c>
      <c r="F142" s="50">
        <f t="shared" si="10"/>
        <v>46174</v>
      </c>
    </row>
    <row r="143" spans="1:7" x14ac:dyDescent="0.25">
      <c r="A143" s="3" t="s">
        <v>174</v>
      </c>
      <c r="B143" s="2">
        <v>68.42</v>
      </c>
      <c r="C143" s="27">
        <v>4</v>
      </c>
      <c r="D143" s="27" t="s">
        <v>154</v>
      </c>
      <c r="E143" s="51">
        <v>45809</v>
      </c>
      <c r="F143" s="50" t="str">
        <f t="shared" si="10"/>
        <v/>
      </c>
    </row>
    <row r="144" spans="1:7" x14ac:dyDescent="0.25">
      <c r="A144" s="3" t="s">
        <v>175</v>
      </c>
      <c r="B144" s="2">
        <v>8.75</v>
      </c>
      <c r="C144" s="27">
        <v>5</v>
      </c>
      <c r="D144" s="27" t="s">
        <v>154</v>
      </c>
      <c r="E144" s="51">
        <v>45809</v>
      </c>
      <c r="F144" s="50" t="str">
        <f t="shared" si="10"/>
        <v/>
      </c>
    </row>
    <row r="145" spans="1:7" x14ac:dyDescent="0.25">
      <c r="A145" s="3" t="s">
        <v>176</v>
      </c>
      <c r="B145" s="2">
        <v>612.86</v>
      </c>
      <c r="C145" s="27">
        <v>1</v>
      </c>
      <c r="D145" s="27" t="s">
        <v>153</v>
      </c>
      <c r="E145" s="51">
        <v>45809</v>
      </c>
      <c r="F145" s="50">
        <f t="shared" si="10"/>
        <v>46174</v>
      </c>
    </row>
    <row r="146" spans="1:7" x14ac:dyDescent="0.25">
      <c r="A146" s="3" t="s">
        <v>177</v>
      </c>
      <c r="B146" s="2">
        <v>10</v>
      </c>
      <c r="C146" s="27">
        <v>5</v>
      </c>
      <c r="D146" s="27" t="s">
        <v>154</v>
      </c>
      <c r="E146" s="51">
        <v>45809</v>
      </c>
      <c r="F146" s="50" t="str">
        <f t="shared" si="10"/>
        <v/>
      </c>
    </row>
    <row r="147" spans="1:7" x14ac:dyDescent="0.25">
      <c r="A147" s="3" t="s">
        <v>178</v>
      </c>
      <c r="B147" s="2">
        <v>0</v>
      </c>
      <c r="C147" s="27">
        <v>1</v>
      </c>
      <c r="D147" s="27" t="s">
        <v>154</v>
      </c>
      <c r="E147" s="51">
        <v>45809</v>
      </c>
      <c r="F147" s="50" t="str">
        <f t="shared" si="10"/>
        <v/>
      </c>
    </row>
    <row r="148" spans="1:7" x14ac:dyDescent="0.25">
      <c r="A148" s="3" t="s">
        <v>179</v>
      </c>
      <c r="B148" s="2">
        <v>73.55</v>
      </c>
      <c r="C148" s="27">
        <v>1</v>
      </c>
      <c r="D148" s="27" t="s">
        <v>154</v>
      </c>
      <c r="E148" s="51">
        <v>45809</v>
      </c>
      <c r="F148" s="50" t="str">
        <f t="shared" si="10"/>
        <v/>
      </c>
    </row>
    <row r="149" spans="1:7" x14ac:dyDescent="0.25">
      <c r="A149" s="3" t="s">
        <v>180</v>
      </c>
      <c r="B149" s="2">
        <v>20</v>
      </c>
      <c r="C149" s="27">
        <v>2</v>
      </c>
      <c r="D149" s="27" t="s">
        <v>154</v>
      </c>
      <c r="E149" s="51">
        <v>45809</v>
      </c>
      <c r="F149" s="50" t="str">
        <f t="shared" si="10"/>
        <v/>
      </c>
    </row>
    <row r="150" spans="1:7" x14ac:dyDescent="0.25">
      <c r="A150" s="3" t="s">
        <v>181</v>
      </c>
      <c r="B150" s="2">
        <v>49</v>
      </c>
      <c r="C150" s="27">
        <v>3</v>
      </c>
      <c r="D150" s="27" t="s">
        <v>154</v>
      </c>
      <c r="E150" s="51">
        <v>45809</v>
      </c>
      <c r="F150" s="50" t="str">
        <f t="shared" si="10"/>
        <v/>
      </c>
    </row>
    <row r="151" spans="1:7" x14ac:dyDescent="0.25">
      <c r="A151" s="3" t="s">
        <v>182</v>
      </c>
      <c r="B151" s="2">
        <v>60</v>
      </c>
      <c r="C151" s="27">
        <v>4</v>
      </c>
      <c r="D151" s="27" t="s">
        <v>154</v>
      </c>
      <c r="E151" s="51">
        <v>45809</v>
      </c>
      <c r="F151" s="50" t="str">
        <f t="shared" si="10"/>
        <v/>
      </c>
    </row>
    <row r="152" spans="1:7" x14ac:dyDescent="0.25">
      <c r="A152" s="3" t="s">
        <v>183</v>
      </c>
      <c r="B152" s="2">
        <v>0</v>
      </c>
      <c r="C152" s="27">
        <v>1</v>
      </c>
      <c r="D152" s="27" t="s">
        <v>154</v>
      </c>
      <c r="E152" s="51">
        <v>45809</v>
      </c>
      <c r="F152" s="50" t="str">
        <f t="shared" si="10"/>
        <v/>
      </c>
    </row>
    <row r="153" spans="1:7" x14ac:dyDescent="0.25">
      <c r="A153" s="3" t="s">
        <v>184</v>
      </c>
      <c r="B153" s="2">
        <v>0</v>
      </c>
      <c r="C153" s="27">
        <v>1</v>
      </c>
      <c r="D153" s="27" t="s">
        <v>154</v>
      </c>
      <c r="E153" s="51">
        <v>45809</v>
      </c>
      <c r="F153" s="50" t="str">
        <f t="shared" si="10"/>
        <v/>
      </c>
    </row>
    <row r="154" spans="1:7" x14ac:dyDescent="0.25">
      <c r="A154" s="3" t="s">
        <v>185</v>
      </c>
      <c r="B154" s="2">
        <v>0</v>
      </c>
      <c r="C154" s="27">
        <v>1</v>
      </c>
      <c r="D154" s="27" t="s">
        <v>154</v>
      </c>
      <c r="E154" s="51">
        <v>45809</v>
      </c>
      <c r="F154" s="50" t="str">
        <f t="shared" si="10"/>
        <v/>
      </c>
    </row>
    <row r="155" spans="1:7" x14ac:dyDescent="0.25">
      <c r="A155" s="3" t="s">
        <v>186</v>
      </c>
      <c r="B155" s="2">
        <v>5</v>
      </c>
      <c r="C155" s="27">
        <v>1</v>
      </c>
      <c r="D155" s="27" t="s">
        <v>153</v>
      </c>
      <c r="E155" s="51">
        <v>45901</v>
      </c>
      <c r="F155" s="50">
        <f t="shared" si="10"/>
        <v>46266</v>
      </c>
    </row>
    <row r="156" spans="1:7" ht="15.75" x14ac:dyDescent="0.3">
      <c r="A156"/>
      <c r="B156"/>
      <c r="C156"/>
      <c r="D156"/>
      <c r="E156"/>
      <c r="F156"/>
      <c r="G156"/>
    </row>
    <row r="157" spans="1:7" ht="21" x14ac:dyDescent="0.35">
      <c r="A157" s="53" t="s">
        <v>195</v>
      </c>
    </row>
    <row r="158" spans="1:7" x14ac:dyDescent="0.25">
      <c r="A158" s="5" t="s">
        <v>195</v>
      </c>
      <c r="B158" s="5" t="s">
        <v>149</v>
      </c>
      <c r="C158" s="5" t="s">
        <v>150</v>
      </c>
      <c r="D158" s="5" t="s">
        <v>155</v>
      </c>
      <c r="E158" s="5" t="s">
        <v>125</v>
      </c>
      <c r="F158" s="5" t="s">
        <v>151</v>
      </c>
      <c r="G158" s="5" t="s">
        <v>152</v>
      </c>
    </row>
    <row r="159" spans="1:7" ht="15.75" x14ac:dyDescent="0.3">
      <c r="A159" s="3" t="s">
        <v>166</v>
      </c>
      <c r="B159" s="2">
        <v>10</v>
      </c>
      <c r="C159" s="27">
        <v>1</v>
      </c>
      <c r="D159" s="27" t="s">
        <v>153</v>
      </c>
      <c r="E159" s="51">
        <v>45962</v>
      </c>
      <c r="F159" s="50">
        <f>IF($D159="Annual",EDATE(E159,12),"")</f>
        <v>46327</v>
      </c>
      <c r="G159"/>
    </row>
    <row r="160" spans="1:7" ht="15.75" x14ac:dyDescent="0.3">
      <c r="A160" s="3" t="s">
        <v>168</v>
      </c>
      <c r="B160" s="2">
        <v>10</v>
      </c>
      <c r="C160" s="27">
        <v>1</v>
      </c>
      <c r="D160" s="27" t="s">
        <v>153</v>
      </c>
      <c r="E160" s="51">
        <v>45809</v>
      </c>
      <c r="F160" s="50">
        <f t="shared" ref="F160:F168" si="11">IF($D160="Annual",EDATE(E160,12),"")</f>
        <v>46174</v>
      </c>
      <c r="G160"/>
    </row>
    <row r="161" spans="1:7" ht="15.75" x14ac:dyDescent="0.3">
      <c r="A161" s="3" t="s">
        <v>167</v>
      </c>
      <c r="B161" s="2">
        <v>10</v>
      </c>
      <c r="C161" s="27">
        <v>1</v>
      </c>
      <c r="D161" s="27" t="s">
        <v>153</v>
      </c>
      <c r="E161" s="51">
        <v>45809</v>
      </c>
      <c r="F161" s="50">
        <f t="shared" si="11"/>
        <v>46174</v>
      </c>
      <c r="G161"/>
    </row>
    <row r="162" spans="1:7" ht="15.75" x14ac:dyDescent="0.3">
      <c r="A162" s="3" t="s">
        <v>169</v>
      </c>
      <c r="B162" s="2">
        <v>10</v>
      </c>
      <c r="C162" s="27">
        <v>4</v>
      </c>
      <c r="D162" s="27" t="s">
        <v>154</v>
      </c>
      <c r="E162" s="51">
        <v>45809</v>
      </c>
      <c r="F162" s="50" t="str">
        <f t="shared" si="11"/>
        <v/>
      </c>
      <c r="G162"/>
    </row>
    <row r="163" spans="1:7" ht="15.75" x14ac:dyDescent="0.3">
      <c r="A163" s="3" t="s">
        <v>170</v>
      </c>
      <c r="B163" s="2">
        <v>10</v>
      </c>
      <c r="C163" s="27">
        <v>1</v>
      </c>
      <c r="D163" s="27" t="s">
        <v>154</v>
      </c>
      <c r="E163" s="51">
        <v>45809</v>
      </c>
      <c r="F163" s="50" t="str">
        <f t="shared" si="11"/>
        <v/>
      </c>
      <c r="G163"/>
    </row>
    <row r="164" spans="1:7" ht="15.75" x14ac:dyDescent="0.3">
      <c r="A164" s="3" t="s">
        <v>171</v>
      </c>
      <c r="B164" s="2">
        <v>10</v>
      </c>
      <c r="C164" s="27">
        <v>1</v>
      </c>
      <c r="D164" s="27" t="s">
        <v>153</v>
      </c>
      <c r="E164" s="51">
        <v>45809</v>
      </c>
      <c r="F164" s="50">
        <f t="shared" si="11"/>
        <v>46174</v>
      </c>
      <c r="G164"/>
    </row>
    <row r="165" spans="1:7" ht="15.75" x14ac:dyDescent="0.3">
      <c r="A165" s="3" t="s">
        <v>172</v>
      </c>
      <c r="B165" s="2">
        <v>10</v>
      </c>
      <c r="C165" s="27">
        <v>1</v>
      </c>
      <c r="D165" s="27" t="s">
        <v>154</v>
      </c>
      <c r="E165" s="51">
        <v>45809</v>
      </c>
      <c r="F165" s="50" t="str">
        <f t="shared" si="11"/>
        <v/>
      </c>
      <c r="G165"/>
    </row>
    <row r="166" spans="1:7" ht="15.75" x14ac:dyDescent="0.3">
      <c r="A166" s="3" t="s">
        <v>173</v>
      </c>
      <c r="B166" s="2">
        <v>10</v>
      </c>
      <c r="C166" s="27">
        <v>5</v>
      </c>
      <c r="D166" s="27" t="s">
        <v>153</v>
      </c>
      <c r="E166" s="51">
        <v>45809</v>
      </c>
      <c r="F166" s="50">
        <f t="shared" si="11"/>
        <v>46174</v>
      </c>
      <c r="G166"/>
    </row>
    <row r="167" spans="1:7" ht="15.75" x14ac:dyDescent="0.3">
      <c r="A167" s="3" t="s">
        <v>174</v>
      </c>
      <c r="B167" s="2">
        <v>10</v>
      </c>
      <c r="C167" s="27">
        <v>4</v>
      </c>
      <c r="D167" s="27" t="s">
        <v>154</v>
      </c>
      <c r="E167" s="51">
        <v>45809</v>
      </c>
      <c r="F167" s="50" t="str">
        <f t="shared" si="11"/>
        <v/>
      </c>
      <c r="G167"/>
    </row>
    <row r="168" spans="1:7" ht="15.75" x14ac:dyDescent="0.3">
      <c r="A168" s="3" t="s">
        <v>175</v>
      </c>
      <c r="B168" s="2">
        <v>10</v>
      </c>
      <c r="C168" s="27">
        <v>5</v>
      </c>
      <c r="D168" s="27" t="s">
        <v>154</v>
      </c>
      <c r="E168" s="51">
        <v>45809</v>
      </c>
      <c r="F168" s="50" t="str">
        <f t="shared" si="11"/>
        <v/>
      </c>
      <c r="G168"/>
    </row>
    <row r="169" spans="1:7" customFormat="1" ht="15.75" x14ac:dyDescent="0.3"/>
    <row r="170" spans="1:7" customFormat="1" ht="21" x14ac:dyDescent="0.35">
      <c r="A170" s="53" t="s">
        <v>163</v>
      </c>
    </row>
    <row r="171" spans="1:7" customFormat="1" ht="15.75" x14ac:dyDescent="0.3">
      <c r="A171" s="5" t="s">
        <v>164</v>
      </c>
      <c r="B171" s="5" t="s">
        <v>194</v>
      </c>
      <c r="C171" s="5" t="s">
        <v>125</v>
      </c>
    </row>
    <row r="172" spans="1:7" customFormat="1" ht="15.75" x14ac:dyDescent="0.3">
      <c r="A172" s="3" t="s">
        <v>166</v>
      </c>
      <c r="B172" s="2">
        <v>300</v>
      </c>
      <c r="C172" s="51">
        <v>45901</v>
      </c>
    </row>
    <row r="173" spans="1:7" customFormat="1" ht="15.75" x14ac:dyDescent="0.3">
      <c r="A173" s="3" t="s">
        <v>168</v>
      </c>
      <c r="B173" s="2">
        <v>500</v>
      </c>
      <c r="C173" s="51">
        <v>45992</v>
      </c>
    </row>
    <row r="174" spans="1:7" customFormat="1" ht="15.75" x14ac:dyDescent="0.3"/>
    <row r="175" spans="1:7" ht="21" x14ac:dyDescent="0.35">
      <c r="A175" s="53" t="s">
        <v>187</v>
      </c>
    </row>
    <row r="176" spans="1:7" x14ac:dyDescent="0.25">
      <c r="A176" s="5" t="s">
        <v>147</v>
      </c>
      <c r="B176" s="5" t="s">
        <v>156</v>
      </c>
      <c r="C176" s="5" t="s">
        <v>157</v>
      </c>
      <c r="D176" s="5" t="s">
        <v>159</v>
      </c>
      <c r="E176" s="5" t="s">
        <v>125</v>
      </c>
      <c r="F176" s="5" t="s">
        <v>158</v>
      </c>
      <c r="G176" s="5" t="s">
        <v>160</v>
      </c>
    </row>
    <row r="177" spans="1:8" x14ac:dyDescent="0.25">
      <c r="A177" s="3" t="s">
        <v>191</v>
      </c>
      <c r="B177" s="11">
        <v>100000</v>
      </c>
      <c r="C177" s="11"/>
      <c r="D177" s="10"/>
      <c r="E177" s="51">
        <v>45901</v>
      </c>
      <c r="F177" s="51">
        <v>46508</v>
      </c>
      <c r="G177" s="1" t="str">
        <f t="shared" ref="G177:G197" si="12">IF($A177="","",IF(B177&gt;0,"Salary","Wage"))</f>
        <v>Salary</v>
      </c>
    </row>
    <row r="178" spans="1:8" x14ac:dyDescent="0.25">
      <c r="A178" s="3" t="s">
        <v>168</v>
      </c>
      <c r="B178" s="11">
        <v>100000</v>
      </c>
      <c r="C178" s="11"/>
      <c r="D178" s="10"/>
      <c r="E178" s="51">
        <v>45962</v>
      </c>
      <c r="F178" s="51">
        <v>46508</v>
      </c>
      <c r="G178" s="1" t="str">
        <f t="shared" si="12"/>
        <v>Salary</v>
      </c>
    </row>
    <row r="179" spans="1:8" x14ac:dyDescent="0.25">
      <c r="A179" s="3" t="s">
        <v>167</v>
      </c>
      <c r="B179" s="11"/>
      <c r="C179" s="11">
        <v>5</v>
      </c>
      <c r="D179" s="10">
        <v>100</v>
      </c>
      <c r="E179" s="51">
        <v>45901</v>
      </c>
      <c r="F179" s="51">
        <v>46508</v>
      </c>
      <c r="G179" s="1" t="str">
        <f t="shared" si="12"/>
        <v>Wage</v>
      </c>
      <c r="H179" s="54"/>
    </row>
    <row r="180" spans="1:8" x14ac:dyDescent="0.25">
      <c r="A180" s="3" t="s">
        <v>169</v>
      </c>
      <c r="B180" s="11"/>
      <c r="C180" s="11">
        <v>45</v>
      </c>
      <c r="D180" s="10">
        <v>160</v>
      </c>
      <c r="E180" s="51">
        <v>45658</v>
      </c>
      <c r="F180" s="51">
        <v>46508</v>
      </c>
      <c r="G180" s="1" t="str">
        <f t="shared" si="12"/>
        <v>Wage</v>
      </c>
    </row>
    <row r="181" spans="1:8" x14ac:dyDescent="0.25">
      <c r="A181" s="3" t="s">
        <v>170</v>
      </c>
      <c r="B181" s="11">
        <v>100000</v>
      </c>
      <c r="C181" s="11"/>
      <c r="D181" s="10"/>
      <c r="E181" s="51">
        <v>45962</v>
      </c>
      <c r="F181" s="51">
        <v>46508</v>
      </c>
      <c r="G181" s="1" t="str">
        <f t="shared" si="12"/>
        <v>Salary</v>
      </c>
    </row>
    <row r="182" spans="1:8" x14ac:dyDescent="0.25">
      <c r="A182" s="3" t="s">
        <v>171</v>
      </c>
      <c r="B182" s="11">
        <v>50000</v>
      </c>
      <c r="C182" s="11"/>
      <c r="D182" s="10"/>
      <c r="E182" s="51">
        <v>45992</v>
      </c>
      <c r="F182" s="51">
        <v>46508</v>
      </c>
      <c r="G182" s="1" t="str">
        <f t="shared" si="12"/>
        <v>Salary</v>
      </c>
    </row>
    <row r="183" spans="1:8" x14ac:dyDescent="0.25">
      <c r="A183" s="3" t="s">
        <v>172</v>
      </c>
      <c r="B183" s="11">
        <v>50000</v>
      </c>
      <c r="C183" s="11"/>
      <c r="D183" s="10"/>
      <c r="E183" s="51">
        <v>46023</v>
      </c>
      <c r="F183" s="51">
        <v>46508</v>
      </c>
      <c r="G183" s="1" t="str">
        <f t="shared" si="12"/>
        <v>Salary</v>
      </c>
    </row>
    <row r="184" spans="1:8" x14ac:dyDescent="0.25">
      <c r="A184" s="3" t="s">
        <v>173</v>
      </c>
      <c r="B184" s="11">
        <v>100000</v>
      </c>
      <c r="C184" s="11"/>
      <c r="D184" s="10"/>
      <c r="E184" s="51">
        <v>46143</v>
      </c>
      <c r="F184" s="51">
        <v>46508</v>
      </c>
      <c r="G184" s="1" t="str">
        <f t="shared" si="12"/>
        <v>Salary</v>
      </c>
    </row>
    <row r="185" spans="1:8" x14ac:dyDescent="0.25">
      <c r="A185" s="3" t="s">
        <v>174</v>
      </c>
      <c r="B185" s="11"/>
      <c r="C185" s="11">
        <v>5</v>
      </c>
      <c r="D185" s="10">
        <v>150</v>
      </c>
      <c r="E185" s="51">
        <v>46143</v>
      </c>
      <c r="F185" s="51">
        <v>46508</v>
      </c>
      <c r="G185" s="1" t="str">
        <f t="shared" si="12"/>
        <v>Wage</v>
      </c>
    </row>
    <row r="186" spans="1:8" x14ac:dyDescent="0.25">
      <c r="A186" s="3" t="s">
        <v>175</v>
      </c>
      <c r="B186" s="11"/>
      <c r="C186" s="11">
        <v>20</v>
      </c>
      <c r="D186" s="10">
        <v>100</v>
      </c>
      <c r="E186" s="51">
        <v>45931</v>
      </c>
      <c r="F186" s="51">
        <v>46508</v>
      </c>
      <c r="G186" s="1" t="str">
        <f t="shared" si="12"/>
        <v>Wage</v>
      </c>
    </row>
    <row r="187" spans="1:8" x14ac:dyDescent="0.25">
      <c r="A187" s="3"/>
      <c r="B187" s="11"/>
      <c r="C187" s="11"/>
      <c r="D187" s="10"/>
      <c r="E187" s="3"/>
      <c r="F187" s="3"/>
      <c r="G187" s="1" t="str">
        <f t="shared" si="12"/>
        <v/>
      </c>
    </row>
    <row r="188" spans="1:8" x14ac:dyDescent="0.25">
      <c r="A188" s="3"/>
      <c r="B188" s="11"/>
      <c r="C188" s="11"/>
      <c r="D188" s="10"/>
      <c r="E188" s="3"/>
      <c r="F188" s="3"/>
      <c r="G188" s="1" t="str">
        <f t="shared" si="12"/>
        <v/>
      </c>
    </row>
    <row r="189" spans="1:8" x14ac:dyDescent="0.25">
      <c r="A189" s="3"/>
      <c r="B189" s="11"/>
      <c r="C189" s="11"/>
      <c r="D189" s="10"/>
      <c r="E189" s="3"/>
      <c r="F189" s="3"/>
      <c r="G189" s="1" t="str">
        <f t="shared" si="12"/>
        <v/>
      </c>
    </row>
    <row r="190" spans="1:8" x14ac:dyDescent="0.25">
      <c r="A190" s="3"/>
      <c r="B190" s="11"/>
      <c r="C190" s="11"/>
      <c r="D190" s="10"/>
      <c r="E190" s="3"/>
      <c r="F190" s="3"/>
      <c r="G190" s="1" t="str">
        <f t="shared" si="12"/>
        <v/>
      </c>
    </row>
    <row r="191" spans="1:8" x14ac:dyDescent="0.25">
      <c r="A191" s="3"/>
      <c r="B191" s="11"/>
      <c r="C191" s="11"/>
      <c r="D191" s="10"/>
      <c r="E191" s="3"/>
      <c r="F191" s="3"/>
      <c r="G191" s="1" t="str">
        <f t="shared" si="12"/>
        <v/>
      </c>
    </row>
    <row r="192" spans="1:8" x14ac:dyDescent="0.25">
      <c r="A192" s="3"/>
      <c r="B192" s="11"/>
      <c r="C192" s="11"/>
      <c r="D192" s="10"/>
      <c r="E192" s="3"/>
      <c r="F192" s="3"/>
      <c r="G192" s="1" t="str">
        <f t="shared" si="12"/>
        <v/>
      </c>
    </row>
    <row r="193" spans="1:7" x14ac:dyDescent="0.25">
      <c r="A193" s="3"/>
      <c r="B193" s="11"/>
      <c r="C193" s="11"/>
      <c r="D193" s="10"/>
      <c r="E193" s="3"/>
      <c r="F193" s="3"/>
      <c r="G193" s="1" t="str">
        <f t="shared" si="12"/>
        <v/>
      </c>
    </row>
    <row r="194" spans="1:7" x14ac:dyDescent="0.25">
      <c r="A194" s="3"/>
      <c r="B194" s="11"/>
      <c r="C194" s="11"/>
      <c r="D194" s="10"/>
      <c r="E194" s="3"/>
      <c r="F194" s="3"/>
      <c r="G194" s="1" t="str">
        <f t="shared" si="12"/>
        <v/>
      </c>
    </row>
    <row r="195" spans="1:7" x14ac:dyDescent="0.25">
      <c r="A195" s="3"/>
      <c r="B195" s="11"/>
      <c r="C195" s="11"/>
      <c r="D195" s="10"/>
      <c r="E195" s="3"/>
      <c r="F195" s="3"/>
      <c r="G195" s="1" t="str">
        <f t="shared" si="12"/>
        <v/>
      </c>
    </row>
    <row r="196" spans="1:7" x14ac:dyDescent="0.25">
      <c r="A196" s="3"/>
      <c r="B196" s="11"/>
      <c r="C196" s="11"/>
      <c r="D196" s="10"/>
      <c r="E196" s="3"/>
      <c r="F196" s="3"/>
      <c r="G196" s="1" t="str">
        <f t="shared" si="12"/>
        <v/>
      </c>
    </row>
    <row r="197" spans="1:7" x14ac:dyDescent="0.25">
      <c r="A197" s="3" t="s">
        <v>186</v>
      </c>
      <c r="B197" s="11"/>
      <c r="C197" s="11"/>
      <c r="D197" s="10"/>
      <c r="E197" s="3"/>
      <c r="F197" s="3"/>
      <c r="G197" s="1" t="str">
        <f t="shared" si="12"/>
        <v>Wage</v>
      </c>
    </row>
    <row r="199" spans="1:7" ht="21" x14ac:dyDescent="0.35">
      <c r="A199" s="53"/>
    </row>
    <row r="200" spans="1:7" x14ac:dyDescent="0.25">
      <c r="A200" s="5"/>
    </row>
  </sheetData>
  <dataConsolidate/>
  <mergeCells count="1">
    <mergeCell ref="A6:E6"/>
  </mergeCells>
  <phoneticPr fontId="23" type="noConversion"/>
  <dataValidations disablePrompts="1" count="1">
    <dataValidation type="list" allowBlank="1" showInputMessage="1" showErrorMessage="1" sqref="D135:D155 D159:D168" xr:uid="{BCEFFBBB-383C-4CE5-9B6F-FD7335F3127C}">
      <formula1>"Monthly, Annual"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E7B8B87-3658-4981-9365-C546A4060C58}">
          <x14:formula1>
            <xm:f>'Unit Costs'!$D$3:$G$3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23"/>
  <sheetViews>
    <sheetView showGridLines="0" zoomScale="70" zoomScaleNormal="70" workbookViewId="0">
      <pane ySplit="6" topLeftCell="A7" activePane="bottomLeft" state="frozen"/>
      <selection activeCell="B1" sqref="B1"/>
      <selection pane="bottomLeft" activeCell="AP105" sqref="AP105"/>
    </sheetView>
  </sheetViews>
  <sheetFormatPr defaultColWidth="9" defaultRowHeight="22.15" customHeight="1" outlineLevelRow="1" outlineLevelCol="1" x14ac:dyDescent="0.25"/>
  <cols>
    <col min="1" max="1" width="1.77734375" style="69" customWidth="1"/>
    <col min="2" max="2" width="35.77734375" style="76" customWidth="1"/>
    <col min="3" max="3" width="14.33203125" style="73" bestFit="1" customWidth="1"/>
    <col min="4" max="4" width="12.77734375" style="73" bestFit="1" customWidth="1"/>
    <col min="5" max="5" width="13.44140625" style="73" bestFit="1" customWidth="1"/>
    <col min="6" max="7" width="13.88671875" style="73" bestFit="1" customWidth="1"/>
    <col min="8" max="8" width="14.109375" style="73" bestFit="1" customWidth="1"/>
    <col min="9" max="9" width="14.33203125" style="73" bestFit="1" customWidth="1"/>
    <col min="10" max="11" width="13.88671875" style="73" bestFit="1" customWidth="1"/>
    <col min="12" max="12" width="14.109375" style="73" bestFit="1" customWidth="1"/>
    <col min="13" max="13" width="13.88671875" style="73" bestFit="1" customWidth="1"/>
    <col min="14" max="14" width="14.109375" style="73" bestFit="1" customWidth="1"/>
    <col min="15" max="15" width="14.33203125" style="88" bestFit="1" customWidth="1"/>
    <col min="16" max="17" width="14.109375" style="88" bestFit="1" customWidth="1"/>
    <col min="18" max="19" width="13.88671875" style="88" bestFit="1" customWidth="1"/>
    <col min="20" max="20" width="14.109375" style="88" bestFit="1" customWidth="1"/>
    <col min="21" max="21" width="14.33203125" style="88" bestFit="1" customWidth="1"/>
    <col min="22" max="23" width="14.109375" style="88" bestFit="1" customWidth="1"/>
    <col min="24" max="24" width="13.88671875" style="88" bestFit="1" customWidth="1"/>
    <col min="25" max="25" width="14.109375" style="88" bestFit="1" customWidth="1"/>
    <col min="26" max="26" width="13.88671875" style="88" bestFit="1" customWidth="1"/>
    <col min="27" max="27" width="14.109375" style="73" bestFit="1" customWidth="1" outlineLevel="1"/>
    <col min="28" max="28" width="13.44140625" style="73" bestFit="1" customWidth="1" outlineLevel="1"/>
    <col min="29" max="29" width="14.33203125" style="73" bestFit="1" customWidth="1" outlineLevel="1"/>
    <col min="30" max="30" width="13.88671875" style="73" bestFit="1" customWidth="1" outlineLevel="1"/>
    <col min="31" max="31" width="16.88671875" style="73" bestFit="1" customWidth="1" outlineLevel="1" collapsed="1"/>
    <col min="32" max="32" width="14.6640625" style="88" bestFit="1" customWidth="1" outlineLevel="1"/>
    <col min="33" max="33" width="15" style="88" bestFit="1" customWidth="1" outlineLevel="1"/>
    <col min="34" max="34" width="14.6640625" style="88" bestFit="1" customWidth="1" outlineLevel="1"/>
    <col min="35" max="35" width="14.33203125" style="88" bestFit="1" customWidth="1" outlineLevel="1"/>
    <col min="36" max="36" width="16.88671875" style="88" bestFit="1" customWidth="1" outlineLevel="1"/>
    <col min="37" max="37" width="23.109375" style="63" bestFit="1" customWidth="1"/>
    <col min="38" max="16384" width="9" style="1"/>
  </cols>
  <sheetData>
    <row r="1" spans="1:37" ht="70.150000000000006" customHeight="1" x14ac:dyDescent="0.45">
      <c r="B1" s="141" t="s">
        <v>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7" ht="28.5" x14ac:dyDescent="0.25">
      <c r="B2" s="142" t="s">
        <v>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</row>
    <row r="3" spans="1:37" ht="15" x14ac:dyDescent="0.25">
      <c r="A3" s="1"/>
      <c r="B3" s="1"/>
      <c r="C3" s="72">
        <f>YEAR(C5)</f>
        <v>2025</v>
      </c>
      <c r="D3" s="72">
        <f t="shared" ref="D3:Z3" si="0">YEAR(D5)</f>
        <v>2025</v>
      </c>
      <c r="E3" s="72">
        <f t="shared" si="0"/>
        <v>2025</v>
      </c>
      <c r="F3" s="72">
        <f t="shared" si="0"/>
        <v>2025</v>
      </c>
      <c r="G3" s="72">
        <f t="shared" si="0"/>
        <v>2025</v>
      </c>
      <c r="H3" s="72">
        <f t="shared" si="0"/>
        <v>2025</v>
      </c>
      <c r="I3" s="72">
        <f t="shared" si="0"/>
        <v>2025</v>
      </c>
      <c r="J3" s="72">
        <f t="shared" si="0"/>
        <v>2026</v>
      </c>
      <c r="K3" s="72">
        <f t="shared" si="0"/>
        <v>2026</v>
      </c>
      <c r="L3" s="72">
        <f t="shared" si="0"/>
        <v>2026</v>
      </c>
      <c r="M3" s="72">
        <f t="shared" si="0"/>
        <v>2026</v>
      </c>
      <c r="N3" s="72">
        <f t="shared" si="0"/>
        <v>2026</v>
      </c>
      <c r="O3" s="72">
        <f t="shared" si="0"/>
        <v>2026</v>
      </c>
      <c r="P3" s="72">
        <f t="shared" si="0"/>
        <v>2026</v>
      </c>
      <c r="Q3" s="72">
        <f t="shared" si="0"/>
        <v>2026</v>
      </c>
      <c r="R3" s="72">
        <f t="shared" si="0"/>
        <v>2026</v>
      </c>
      <c r="S3" s="72">
        <f t="shared" si="0"/>
        <v>2026</v>
      </c>
      <c r="T3" s="72">
        <f t="shared" si="0"/>
        <v>2026</v>
      </c>
      <c r="U3" s="72">
        <f t="shared" si="0"/>
        <v>2026</v>
      </c>
      <c r="V3" s="72">
        <f t="shared" si="0"/>
        <v>2027</v>
      </c>
      <c r="W3" s="72">
        <f t="shared" si="0"/>
        <v>2027</v>
      </c>
      <c r="X3" s="72">
        <f t="shared" si="0"/>
        <v>2027</v>
      </c>
      <c r="Y3" s="72">
        <f t="shared" si="0"/>
        <v>2027</v>
      </c>
      <c r="Z3" s="72">
        <f t="shared" si="0"/>
        <v>2027</v>
      </c>
      <c r="AF3" s="74"/>
      <c r="AG3" s="74"/>
      <c r="AH3" s="74"/>
      <c r="AI3" s="74"/>
      <c r="AJ3" s="74"/>
    </row>
    <row r="4" spans="1:37" ht="15" x14ac:dyDescent="0.25">
      <c r="A4" s="1"/>
      <c r="B4" s="1"/>
      <c r="C4" s="72">
        <v>1</v>
      </c>
      <c r="D4" s="72">
        <f>C4+1</f>
        <v>2</v>
      </c>
      <c r="E4" s="72">
        <f t="shared" ref="E4:Z4" si="1">D4+1</f>
        <v>3</v>
      </c>
      <c r="F4" s="72">
        <f t="shared" si="1"/>
        <v>4</v>
      </c>
      <c r="G4" s="72">
        <f t="shared" si="1"/>
        <v>5</v>
      </c>
      <c r="H4" s="72">
        <f t="shared" si="1"/>
        <v>6</v>
      </c>
      <c r="I4" s="72">
        <f t="shared" si="1"/>
        <v>7</v>
      </c>
      <c r="J4" s="72">
        <f t="shared" si="1"/>
        <v>8</v>
      </c>
      <c r="K4" s="72">
        <f t="shared" si="1"/>
        <v>9</v>
      </c>
      <c r="L4" s="72">
        <f t="shared" si="1"/>
        <v>10</v>
      </c>
      <c r="M4" s="72">
        <f t="shared" si="1"/>
        <v>11</v>
      </c>
      <c r="N4" s="72">
        <f t="shared" si="1"/>
        <v>12</v>
      </c>
      <c r="O4" s="72">
        <v>1</v>
      </c>
      <c r="P4" s="72">
        <f t="shared" si="1"/>
        <v>2</v>
      </c>
      <c r="Q4" s="72">
        <f t="shared" si="1"/>
        <v>3</v>
      </c>
      <c r="R4" s="72">
        <f t="shared" si="1"/>
        <v>4</v>
      </c>
      <c r="S4" s="72">
        <f t="shared" si="1"/>
        <v>5</v>
      </c>
      <c r="T4" s="72">
        <f t="shared" si="1"/>
        <v>6</v>
      </c>
      <c r="U4" s="72">
        <f t="shared" si="1"/>
        <v>7</v>
      </c>
      <c r="V4" s="72">
        <f t="shared" si="1"/>
        <v>8</v>
      </c>
      <c r="W4" s="72">
        <f t="shared" si="1"/>
        <v>9</v>
      </c>
      <c r="X4" s="72">
        <f t="shared" si="1"/>
        <v>10</v>
      </c>
      <c r="Y4" s="72">
        <f t="shared" si="1"/>
        <v>11</v>
      </c>
      <c r="Z4" s="72">
        <f t="shared" si="1"/>
        <v>12</v>
      </c>
      <c r="AF4" s="75"/>
      <c r="AG4" s="75"/>
      <c r="AH4" s="75"/>
      <c r="AI4" s="75"/>
      <c r="AJ4" s="75"/>
    </row>
    <row r="5" spans="1:37" ht="22.15" customHeight="1" x14ac:dyDescent="0.25">
      <c r="C5" s="77">
        <f>Assumptions!$B$2</f>
        <v>45809</v>
      </c>
      <c r="D5" s="78">
        <f>EDATE(C5,1)</f>
        <v>45839</v>
      </c>
      <c r="E5" s="78">
        <f t="shared" ref="E5:Z5" si="2">EDATE(D5,1)</f>
        <v>45870</v>
      </c>
      <c r="F5" s="78">
        <f t="shared" si="2"/>
        <v>45901</v>
      </c>
      <c r="G5" s="78">
        <f t="shared" si="2"/>
        <v>45931</v>
      </c>
      <c r="H5" s="78">
        <f t="shared" si="2"/>
        <v>45962</v>
      </c>
      <c r="I5" s="78">
        <f t="shared" si="2"/>
        <v>45992</v>
      </c>
      <c r="J5" s="78">
        <f t="shared" si="2"/>
        <v>46023</v>
      </c>
      <c r="K5" s="78">
        <f t="shared" si="2"/>
        <v>46054</v>
      </c>
      <c r="L5" s="78">
        <f t="shared" si="2"/>
        <v>46082</v>
      </c>
      <c r="M5" s="78">
        <f t="shared" si="2"/>
        <v>46113</v>
      </c>
      <c r="N5" s="79">
        <f t="shared" si="2"/>
        <v>46143</v>
      </c>
      <c r="O5" s="77">
        <f t="shared" si="2"/>
        <v>46174</v>
      </c>
      <c r="P5" s="78">
        <f t="shared" si="2"/>
        <v>46204</v>
      </c>
      <c r="Q5" s="78">
        <f t="shared" si="2"/>
        <v>46235</v>
      </c>
      <c r="R5" s="78">
        <f t="shared" si="2"/>
        <v>46266</v>
      </c>
      <c r="S5" s="78">
        <f t="shared" si="2"/>
        <v>46296</v>
      </c>
      <c r="T5" s="78">
        <f t="shared" si="2"/>
        <v>46327</v>
      </c>
      <c r="U5" s="78">
        <f t="shared" si="2"/>
        <v>46357</v>
      </c>
      <c r="V5" s="78">
        <f t="shared" si="2"/>
        <v>46388</v>
      </c>
      <c r="W5" s="78">
        <f t="shared" si="2"/>
        <v>46419</v>
      </c>
      <c r="X5" s="78">
        <f t="shared" si="2"/>
        <v>46447</v>
      </c>
      <c r="Y5" s="78">
        <f t="shared" si="2"/>
        <v>46478</v>
      </c>
      <c r="Z5" s="79">
        <f t="shared" si="2"/>
        <v>46508</v>
      </c>
      <c r="AA5" s="77" t="str">
        <f>$C$6</f>
        <v>Q2</v>
      </c>
      <c r="AB5" s="78" t="str">
        <f>IF(RIGHT(AA$5,1)="4","Q1","Q"&amp;RIGHT(AA5,1)+1)</f>
        <v>Q3</v>
      </c>
      <c r="AC5" s="78" t="str">
        <f>IF(RIGHT(AB$5,1)="4","Q1","Q"&amp;RIGHT(AB5,1)+1)</f>
        <v>Q4</v>
      </c>
      <c r="AD5" s="79" t="str">
        <f>IF(RIGHT(AC$5,1)="4","Q1","Q"&amp;RIGHT(AC5,1)+1)</f>
        <v>Q1</v>
      </c>
      <c r="AE5" s="80" t="s">
        <v>54</v>
      </c>
      <c r="AF5" s="77" t="str">
        <f>$O$6</f>
        <v>Q2</v>
      </c>
      <c r="AG5" s="78" t="str">
        <f>IF(RIGHT(AF$5,1)="4","Q1","Q"&amp;RIGHT(AF5,1)+1)</f>
        <v>Q3</v>
      </c>
      <c r="AH5" s="78" t="str">
        <f>IF(RIGHT(AG$5,1)="4","Q1","Q"&amp;RIGHT(AG5,1)+1)</f>
        <v>Q4</v>
      </c>
      <c r="AI5" s="78" t="str">
        <f>IF(RIGHT(AH$5,1)="4","Q1","Q"&amp;RIGHT(AH5,1)+1)</f>
        <v>Q1</v>
      </c>
      <c r="AJ5" s="80" t="s">
        <v>54</v>
      </c>
    </row>
    <row r="6" spans="1:37" ht="15" x14ac:dyDescent="0.25">
      <c r="C6" s="81" t="str">
        <f>INDEX(Formatting!$B$2:$B$13,MATCH(MONTH('Cash flow forecast'!C$5),Formatting!$C$2:$C$13,0))</f>
        <v>Q2</v>
      </c>
      <c r="D6" s="82" t="str">
        <f>INDEX(Formatting!$B$2:$B$13,MATCH(MONTH('Cash flow forecast'!D$5),Formatting!$C$2:$C$13,0))</f>
        <v>Q3</v>
      </c>
      <c r="E6" s="82" t="str">
        <f>INDEX(Formatting!$B$2:$B$13,MATCH(MONTH('Cash flow forecast'!E$5),Formatting!$C$2:$C$13,0))</f>
        <v>Q3</v>
      </c>
      <c r="F6" s="82" t="str">
        <f>INDEX(Formatting!$B$2:$B$13,MATCH(MONTH('Cash flow forecast'!F$5),Formatting!$C$2:$C$13,0))</f>
        <v>Q3</v>
      </c>
      <c r="G6" s="82" t="str">
        <f>INDEX(Formatting!$B$2:$B$13,MATCH(MONTH('Cash flow forecast'!G$5),Formatting!$C$2:$C$13,0))</f>
        <v>Q4</v>
      </c>
      <c r="H6" s="82" t="str">
        <f>INDEX(Formatting!$B$2:$B$13,MATCH(MONTH('Cash flow forecast'!H$5),Formatting!$C$2:$C$13,0))</f>
        <v>Q4</v>
      </c>
      <c r="I6" s="82" t="str">
        <f>INDEX(Formatting!$B$2:$B$13,MATCH(MONTH('Cash flow forecast'!I$5),Formatting!$C$2:$C$13,0))</f>
        <v>Q4</v>
      </c>
      <c r="J6" s="82" t="str">
        <f>INDEX(Formatting!$B$2:$B$13,MATCH(MONTH('Cash flow forecast'!J$5),Formatting!$C$2:$C$13,0))</f>
        <v>Q1</v>
      </c>
      <c r="K6" s="82" t="str">
        <f>INDEX(Formatting!$B$2:$B$13,MATCH(MONTH('Cash flow forecast'!K$5),Formatting!$C$2:$C$13,0))</f>
        <v>Q1</v>
      </c>
      <c r="L6" s="82" t="str">
        <f>INDEX(Formatting!$B$2:$B$13,MATCH(MONTH('Cash flow forecast'!L$5),Formatting!$C$2:$C$13,0))</f>
        <v>Q1</v>
      </c>
      <c r="M6" s="82" t="str">
        <f>INDEX(Formatting!$B$2:$B$13,MATCH(MONTH('Cash flow forecast'!M$5),Formatting!$C$2:$C$13,0))</f>
        <v>Q2</v>
      </c>
      <c r="N6" s="83" t="str">
        <f>INDEX(Formatting!$B$2:$B$13,MATCH(MONTH('Cash flow forecast'!N$5),Formatting!$C$2:$C$13,0))</f>
        <v>Q2</v>
      </c>
      <c r="O6" s="81" t="str">
        <f>INDEX(Formatting!$B$2:$B$13,MATCH(MONTH('Cash flow forecast'!O$5),Formatting!$C$2:$C$13,0))</f>
        <v>Q2</v>
      </c>
      <c r="P6" s="82" t="str">
        <f>INDEX(Formatting!$B$2:$B$13,MATCH(MONTH('Cash flow forecast'!P$5),Formatting!$C$2:$C$13,0))</f>
        <v>Q3</v>
      </c>
      <c r="Q6" s="82" t="str">
        <f>INDEX(Formatting!$B$2:$B$13,MATCH(MONTH('Cash flow forecast'!Q$5),Formatting!$C$2:$C$13,0))</f>
        <v>Q3</v>
      </c>
      <c r="R6" s="82" t="str">
        <f>INDEX(Formatting!$B$2:$B$13,MATCH(MONTH('Cash flow forecast'!R$5),Formatting!$C$2:$C$13,0))</f>
        <v>Q3</v>
      </c>
      <c r="S6" s="82" t="str">
        <f>INDEX(Formatting!$B$2:$B$13,MATCH(MONTH('Cash flow forecast'!S$5),Formatting!$C$2:$C$13,0))</f>
        <v>Q4</v>
      </c>
      <c r="T6" s="82" t="str">
        <f>INDEX(Formatting!$B$2:$B$13,MATCH(MONTH('Cash flow forecast'!T$5),Formatting!$C$2:$C$13,0))</f>
        <v>Q4</v>
      </c>
      <c r="U6" s="82" t="str">
        <f>INDEX(Formatting!$B$2:$B$13,MATCH(MONTH('Cash flow forecast'!U$5),Formatting!$C$2:$C$13,0))</f>
        <v>Q4</v>
      </c>
      <c r="V6" s="82" t="str">
        <f>INDEX(Formatting!$B$2:$B$13,MATCH(MONTH('Cash flow forecast'!V$5),Formatting!$C$2:$C$13,0))</f>
        <v>Q1</v>
      </c>
      <c r="W6" s="82" t="str">
        <f>INDEX(Formatting!$B$2:$B$13,MATCH(MONTH('Cash flow forecast'!W$5),Formatting!$C$2:$C$13,0))</f>
        <v>Q1</v>
      </c>
      <c r="X6" s="82" t="str">
        <f>INDEX(Formatting!$B$2:$B$13,MATCH(MONTH('Cash flow forecast'!X$5),Formatting!$C$2:$C$13,0))</f>
        <v>Q1</v>
      </c>
      <c r="Y6" s="82" t="str">
        <f>INDEX(Formatting!$B$2:$B$13,MATCH(MONTH('Cash flow forecast'!Y$5),Formatting!$C$2:$C$13,0))</f>
        <v>Q2</v>
      </c>
      <c r="Z6" s="83" t="str">
        <f>INDEX(Formatting!$B$2:$B$13,MATCH(MONTH('Cash flow forecast'!Z$5),Formatting!$C$2:$C$13,0))</f>
        <v>Q2</v>
      </c>
      <c r="AA6" s="84">
        <f>INDEX($C$3:$N$3,MATCH(AA$5,$C$6:$N$6,0))</f>
        <v>2025</v>
      </c>
      <c r="AB6" s="85">
        <f t="shared" ref="AB6:AD6" si="3">INDEX($C$3:$N$3,MATCH(AB$5,$C$6:$N$6,0))</f>
        <v>2025</v>
      </c>
      <c r="AC6" s="85">
        <f t="shared" si="3"/>
        <v>2025</v>
      </c>
      <c r="AD6" s="86">
        <f t="shared" si="3"/>
        <v>2026</v>
      </c>
      <c r="AE6" s="87"/>
      <c r="AF6" s="84">
        <f>INDEX($O$3:$Z$3,MATCH(AF$5,$O$6:$Z$6,0))</f>
        <v>2026</v>
      </c>
      <c r="AG6" s="85">
        <f t="shared" ref="AG6:AI6" si="4">INDEX($O$3:$Z$3,MATCH(AG$5,$O$6:$Z$6,0))</f>
        <v>2026</v>
      </c>
      <c r="AH6" s="85">
        <f t="shared" si="4"/>
        <v>2026</v>
      </c>
      <c r="AI6" s="85">
        <f t="shared" si="4"/>
        <v>2027</v>
      </c>
      <c r="AJ6" s="87"/>
    </row>
    <row r="7" spans="1:37" ht="19.899999999999999" customHeight="1" x14ac:dyDescent="0.25">
      <c r="B7" s="143" t="s">
        <v>63</v>
      </c>
    </row>
    <row r="8" spans="1:37" ht="22.15" customHeight="1" x14ac:dyDescent="0.25">
      <c r="B8" s="89" t="s">
        <v>55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6" t="s">
        <v>133</v>
      </c>
    </row>
    <row r="9" spans="1:37" ht="22.15" hidden="1" customHeight="1" outlineLevel="1" x14ac:dyDescent="0.25">
      <c r="B9" s="90" t="s">
        <v>31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5"/>
      <c r="AB9" s="55"/>
      <c r="AC9" s="55"/>
      <c r="AD9" s="55"/>
      <c r="AE9" s="55"/>
      <c r="AF9" s="55"/>
      <c r="AG9" s="55"/>
      <c r="AH9" s="55"/>
      <c r="AI9" s="55"/>
      <c r="AJ9" s="55"/>
    </row>
    <row r="10" spans="1:37" ht="22.15" hidden="1" customHeight="1" outlineLevel="1" x14ac:dyDescent="0.25">
      <c r="B10" s="58" t="s">
        <v>120</v>
      </c>
      <c r="C10" s="59">
        <f>SUMIFS(Formatting!$A$23:$A$27,Formatting!$E$23:$E$27,'Cash flow forecast'!C$5)</f>
        <v>5</v>
      </c>
      <c r="D10" s="59">
        <f>SUMIFS(Formatting!$A$23:$A$27,Formatting!$E$23:$E$27,'Cash flow forecast'!D$5)</f>
        <v>0</v>
      </c>
      <c r="E10" s="59">
        <f>SUMIFS(Formatting!$A$23:$A$27,Formatting!$E$23:$E$27,'Cash flow forecast'!E$5)</f>
        <v>2</v>
      </c>
      <c r="F10" s="59">
        <f>SUMIFS(Formatting!$A$23:$A$27,Formatting!$E$23:$E$27,'Cash flow forecast'!F$5)</f>
        <v>0</v>
      </c>
      <c r="G10" s="59">
        <f>SUMIFS(Formatting!$A$23:$A$27,Formatting!$E$23:$E$27,'Cash flow forecast'!G$5)</f>
        <v>0</v>
      </c>
      <c r="H10" s="59">
        <f>SUMIFS(Formatting!$A$23:$A$27,Formatting!$E$23:$E$27,'Cash flow forecast'!H$5)</f>
        <v>0</v>
      </c>
      <c r="I10" s="59">
        <f>SUMIFS(Formatting!$A$23:$A$27,Formatting!$E$23:$E$27,'Cash flow forecast'!I$5)</f>
        <v>0</v>
      </c>
      <c r="J10" s="59">
        <f>SUMIFS(Formatting!$A$23:$A$27,Formatting!$E$23:$E$27,'Cash flow forecast'!J$5)</f>
        <v>0</v>
      </c>
      <c r="K10" s="59">
        <f>SUMIFS(Formatting!$A$23:$A$27,Formatting!$E$23:$E$27,'Cash flow forecast'!K$5)</f>
        <v>0</v>
      </c>
      <c r="L10" s="59">
        <f>SUMIFS(Formatting!$A$23:$A$27,Formatting!$E$23:$E$27,'Cash flow forecast'!L$5)</f>
        <v>0</v>
      </c>
      <c r="M10" s="59">
        <f>SUMIFS(Formatting!$A$23:$A$27,Formatting!$E$23:$E$27,'Cash flow forecast'!M$5)</f>
        <v>0</v>
      </c>
      <c r="N10" s="59">
        <f>SUMIFS(Formatting!$A$23:$A$27,Formatting!$E$23:$E$27,'Cash flow forecast'!N$5)</f>
        <v>0</v>
      </c>
      <c r="O10" s="59">
        <f>SUMIFS(Formatting!$A$23:$A$27,Formatting!$E$23:$E$27,'Cash flow forecast'!O$5)</f>
        <v>0</v>
      </c>
      <c r="P10" s="59">
        <f>SUMIFS(Formatting!$A$23:$A$27,Formatting!$E$23:$E$27,'Cash flow forecast'!P$5)</f>
        <v>0</v>
      </c>
      <c r="Q10" s="59">
        <f>SUMIFS(Formatting!$A$23:$A$27,Formatting!$E$23:$E$27,'Cash flow forecast'!Q$5)</f>
        <v>0</v>
      </c>
      <c r="R10" s="59">
        <f>SUMIFS(Formatting!$A$23:$A$27,Formatting!$E$23:$E$27,'Cash flow forecast'!R$5)</f>
        <v>0</v>
      </c>
      <c r="S10" s="59">
        <f>SUMIFS(Formatting!$A$23:$A$27,Formatting!$E$23:$E$27,'Cash flow forecast'!S$5)</f>
        <v>0</v>
      </c>
      <c r="T10" s="59">
        <f>SUMIFS(Formatting!$A$23:$A$27,Formatting!$E$23:$E$27,'Cash flow forecast'!T$5)</f>
        <v>0</v>
      </c>
      <c r="U10" s="59">
        <f>SUMIFS(Formatting!$A$23:$A$27,Formatting!$E$23:$E$27,'Cash flow forecast'!U$5)</f>
        <v>0</v>
      </c>
      <c r="V10" s="59">
        <f>SUMIFS(Formatting!$A$23:$A$27,Formatting!$E$23:$E$27,'Cash flow forecast'!V$5)</f>
        <v>0</v>
      </c>
      <c r="W10" s="59">
        <f>SUMIFS(Formatting!$A$23:$A$27,Formatting!$E$23:$E$27,'Cash flow forecast'!W$5)</f>
        <v>0</v>
      </c>
      <c r="X10" s="59">
        <f>SUMIFS(Formatting!$A$23:$A$27,Formatting!$E$23:$E$27,'Cash flow forecast'!X$5)</f>
        <v>5</v>
      </c>
      <c r="Y10" s="59">
        <f>SUMIFS(Formatting!$A$23:$A$27,Formatting!$E$23:$E$27,'Cash flow forecast'!Y$5)</f>
        <v>0</v>
      </c>
      <c r="Z10" s="59">
        <f>SUMIFS(Formatting!$A$23:$A$27,Formatting!$E$23:$E$27,'Cash flow forecast'!Z$5)</f>
        <v>0</v>
      </c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spans="1:37" ht="22.15" hidden="1" customHeight="1" outlineLevel="1" x14ac:dyDescent="0.25">
      <c r="B11" s="58" t="s">
        <v>121</v>
      </c>
      <c r="C11" s="59">
        <f>IFERROR(INDEX(Formatting!$F$24:$T$24,MATCH('Cash flow forecast'!C$5,Formatting!$F$23:$T$23,0)),0)+IFERROR(INDEX(Formatting!$F$26:$T$26,MATCH('Cash flow forecast'!C$5,Formatting!$F$25:$T$25,0)),0)+IFERROR(INDEX(Formatting!$F$28:$T$28,MATCH('Cash flow forecast'!C$5,Formatting!$F$27:$T$27,0)),0)</f>
        <v>0</v>
      </c>
      <c r="D11" s="59">
        <f>IFERROR(INDEX(Formatting!$F$24:$T$24,MATCH('Cash flow forecast'!D$5,Formatting!$F$23:$T$23,0)),0)+IFERROR(INDEX(Formatting!$F$26:$T$26,MATCH('Cash flow forecast'!D$5,Formatting!$F$25:$T$25,0)),0)+IFERROR(INDEX(Formatting!$F$28:$T$28,MATCH('Cash flow forecast'!D$5,Formatting!$F$27:$T$27,0)),0)</f>
        <v>0</v>
      </c>
      <c r="E11" s="59">
        <f>IFERROR(INDEX(Formatting!$F$24:$T$24,MATCH('Cash flow forecast'!E$5,Formatting!$F$23:$T$23,0)),0)+IFERROR(INDEX(Formatting!$F$26:$T$26,MATCH('Cash flow forecast'!E$5,Formatting!$F$25:$T$25,0)),0)+IFERROR(INDEX(Formatting!$F$28:$T$28,MATCH('Cash flow forecast'!E$5,Formatting!$F$27:$T$27,0)),0)</f>
        <v>0</v>
      </c>
      <c r="F11" s="59">
        <f>IFERROR(INDEX(Formatting!$F$24:$T$24,MATCH('Cash flow forecast'!F$5,Formatting!$F$23:$T$23,0)),0)+IFERROR(INDEX(Formatting!$F$26:$T$26,MATCH('Cash flow forecast'!F$5,Formatting!$F$25:$T$25,0)),0)+IFERROR(INDEX(Formatting!$F$28:$T$28,MATCH('Cash flow forecast'!F$5,Formatting!$F$27:$T$27,0)),0)</f>
        <v>0</v>
      </c>
      <c r="G11" s="59">
        <f>IFERROR(INDEX(Formatting!$F$24:$T$24,MATCH('Cash flow forecast'!G$5,Formatting!$F$23:$T$23,0)),0)+IFERROR(INDEX(Formatting!$F$26:$T$26,MATCH('Cash flow forecast'!G$5,Formatting!$F$25:$T$25,0)),0)+IFERROR(INDEX(Formatting!$F$28:$T$28,MATCH('Cash flow forecast'!G$5,Formatting!$F$27:$T$27,0)),0)</f>
        <v>0</v>
      </c>
      <c r="H11" s="59">
        <f>IFERROR(INDEX(Formatting!$F$24:$T$24,MATCH('Cash flow forecast'!H$5,Formatting!$F$23:$T$23,0)),0)+IFERROR(INDEX(Formatting!$F$26:$T$26,MATCH('Cash flow forecast'!H$5,Formatting!$F$25:$T$25,0)),0)+IFERROR(INDEX(Formatting!$F$28:$T$28,MATCH('Cash flow forecast'!H$5,Formatting!$F$27:$T$27,0)),0)</f>
        <v>0</v>
      </c>
      <c r="I11" s="59">
        <f>IFERROR(INDEX(Formatting!$F$24:$T$24,MATCH('Cash flow forecast'!I$5,Formatting!$F$23:$T$23,0)),0)+IFERROR(INDEX(Formatting!$F$26:$T$26,MATCH('Cash flow forecast'!I$5,Formatting!$F$25:$T$25,0)),0)+IFERROR(INDEX(Formatting!$F$28:$T$28,MATCH('Cash flow forecast'!I$5,Formatting!$F$27:$T$27,0)),0)</f>
        <v>5</v>
      </c>
      <c r="J11" s="59">
        <f>IFERROR(INDEX(Formatting!$F$24:$T$24,MATCH('Cash flow forecast'!J$5,Formatting!$F$23:$T$23,0)),0)+IFERROR(INDEX(Formatting!$F$26:$T$26,MATCH('Cash flow forecast'!J$5,Formatting!$F$25:$T$25,0)),0)+IFERROR(INDEX(Formatting!$F$28:$T$28,MATCH('Cash flow forecast'!J$5,Formatting!$F$27:$T$27,0)),0)</f>
        <v>0</v>
      </c>
      <c r="K11" s="59">
        <f>IFERROR(INDEX(Formatting!$F$24:$T$24,MATCH('Cash flow forecast'!K$5,Formatting!$F$23:$T$23,0)),0)+IFERROR(INDEX(Formatting!$F$26:$T$26,MATCH('Cash flow forecast'!K$5,Formatting!$F$25:$T$25,0)),0)+IFERROR(INDEX(Formatting!$F$28:$T$28,MATCH('Cash flow forecast'!K$5,Formatting!$F$27:$T$27,0)),0)</f>
        <v>2</v>
      </c>
      <c r="L11" s="59">
        <f>IFERROR(INDEX(Formatting!$F$24:$T$24,MATCH('Cash flow forecast'!L$5,Formatting!$F$23:$T$23,0)),0)+IFERROR(INDEX(Formatting!$F$26:$T$26,MATCH('Cash flow forecast'!L$5,Formatting!$F$25:$T$25,0)),0)+IFERROR(INDEX(Formatting!$F$28:$T$28,MATCH('Cash flow forecast'!L$5,Formatting!$F$27:$T$27,0)),0)</f>
        <v>0</v>
      </c>
      <c r="M11" s="59">
        <f>IFERROR(INDEX(Formatting!$F$24:$T$24,MATCH('Cash flow forecast'!M$5,Formatting!$F$23:$T$23,0)),0)+IFERROR(INDEX(Formatting!$F$26:$T$26,MATCH('Cash flow forecast'!M$5,Formatting!$F$25:$T$25,0)),0)+IFERROR(INDEX(Formatting!$F$28:$T$28,MATCH('Cash flow forecast'!M$5,Formatting!$F$27:$T$27,0)),0)</f>
        <v>0</v>
      </c>
      <c r="N11" s="59">
        <f>IFERROR(INDEX(Formatting!$F$24:$T$24,MATCH('Cash flow forecast'!N$5,Formatting!$F$23:$T$23,0)),0)+IFERROR(INDEX(Formatting!$F$26:$T$26,MATCH('Cash flow forecast'!N$5,Formatting!$F$25:$T$25,0)),0)+IFERROR(INDEX(Formatting!$F$28:$T$28,MATCH('Cash flow forecast'!N$5,Formatting!$F$27:$T$27,0)),0)</f>
        <v>0</v>
      </c>
      <c r="O11" s="59">
        <f>IFERROR(INDEX(Formatting!$F$24:$T$24,MATCH('Cash flow forecast'!O$5,Formatting!$F$23:$T$23,0)),0)+IFERROR(INDEX(Formatting!$F$26:$T$26,MATCH('Cash flow forecast'!O$5,Formatting!$F$25:$T$25,0)),0)+IFERROR(INDEX(Formatting!$F$28:$T$28,MATCH('Cash flow forecast'!O$5,Formatting!$F$27:$T$27,0)),0)</f>
        <v>5</v>
      </c>
      <c r="P11" s="59">
        <f>IFERROR(INDEX(Formatting!$F$24:$T$24,MATCH('Cash flow forecast'!P$5,Formatting!$F$23:$T$23,0)),0)+IFERROR(INDEX(Formatting!$F$26:$T$26,MATCH('Cash flow forecast'!P$5,Formatting!$F$25:$T$25,0)),0)+IFERROR(INDEX(Formatting!$F$28:$T$28,MATCH('Cash flow forecast'!P$5,Formatting!$F$27:$T$27,0)),0)</f>
        <v>0</v>
      </c>
      <c r="Q11" s="59">
        <f>IFERROR(INDEX(Formatting!$F$24:$T$24,MATCH('Cash flow forecast'!Q$5,Formatting!$F$23:$T$23,0)),0)+IFERROR(INDEX(Formatting!$F$26:$T$26,MATCH('Cash flow forecast'!Q$5,Formatting!$F$25:$T$25,0)),0)+IFERROR(INDEX(Formatting!$F$28:$T$28,MATCH('Cash flow forecast'!Q$5,Formatting!$F$27:$T$27,0)),0)</f>
        <v>2</v>
      </c>
      <c r="R11" s="59">
        <f>IFERROR(INDEX(Formatting!$F$24:$T$24,MATCH('Cash flow forecast'!R$5,Formatting!$F$23:$T$23,0)),0)+IFERROR(INDEX(Formatting!$F$26:$T$26,MATCH('Cash flow forecast'!R$5,Formatting!$F$25:$T$25,0)),0)+IFERROR(INDEX(Formatting!$F$28:$T$28,MATCH('Cash flow forecast'!R$5,Formatting!$F$27:$T$27,0)),0)</f>
        <v>0</v>
      </c>
      <c r="S11" s="59">
        <f>IFERROR(INDEX(Formatting!$F$24:$T$24,MATCH('Cash flow forecast'!S$5,Formatting!$F$23:$T$23,0)),0)+IFERROR(INDEX(Formatting!$F$26:$T$26,MATCH('Cash flow forecast'!S$5,Formatting!$F$25:$T$25,0)),0)+IFERROR(INDEX(Formatting!$F$28:$T$28,MATCH('Cash flow forecast'!S$5,Formatting!$F$27:$T$27,0)),0)</f>
        <v>0</v>
      </c>
      <c r="T11" s="59">
        <f>IFERROR(INDEX(Formatting!$F$24:$T$24,MATCH('Cash flow forecast'!T$5,Formatting!$F$23:$T$23,0)),0)+IFERROR(INDEX(Formatting!$F$26:$T$26,MATCH('Cash flow forecast'!T$5,Formatting!$F$25:$T$25,0)),0)+IFERROR(INDEX(Formatting!$F$28:$T$28,MATCH('Cash flow forecast'!T$5,Formatting!$F$27:$T$27,0)),0)</f>
        <v>0</v>
      </c>
      <c r="U11" s="59">
        <f>IFERROR(INDEX(Formatting!$F$24:$T$24,MATCH('Cash flow forecast'!U$5,Formatting!$F$23:$T$23,0)),0)+IFERROR(INDEX(Formatting!$F$26:$T$26,MATCH('Cash flow forecast'!U$5,Formatting!$F$25:$T$25,0)),0)+IFERROR(INDEX(Formatting!$F$28:$T$28,MATCH('Cash flow forecast'!U$5,Formatting!$F$27:$T$27,0)),0)</f>
        <v>5</v>
      </c>
      <c r="V11" s="59">
        <f>IFERROR(INDEX(Formatting!$F$24:$T$24,MATCH('Cash flow forecast'!V$5,Formatting!$F$23:$T$23,0)),0)+IFERROR(INDEX(Formatting!$F$26:$T$26,MATCH('Cash flow forecast'!V$5,Formatting!$F$25:$T$25,0)),0)+IFERROR(INDEX(Formatting!$F$28:$T$28,MATCH('Cash flow forecast'!V$5,Formatting!$F$27:$T$27,0)),0)</f>
        <v>0</v>
      </c>
      <c r="W11" s="59">
        <f>IFERROR(INDEX(Formatting!$F$24:$T$24,MATCH('Cash flow forecast'!W$5,Formatting!$F$23:$T$23,0)),0)+IFERROR(INDEX(Formatting!$F$26:$T$26,MATCH('Cash flow forecast'!W$5,Formatting!$F$25:$T$25,0)),0)+IFERROR(INDEX(Formatting!$F$28:$T$28,MATCH('Cash flow forecast'!W$5,Formatting!$F$27:$T$27,0)),0)</f>
        <v>2</v>
      </c>
      <c r="X11" s="59">
        <f>IFERROR(INDEX(Formatting!$F$24:$T$24,MATCH('Cash flow forecast'!X$5,Formatting!$F$23:$T$23,0)),0)+IFERROR(INDEX(Formatting!$F$26:$T$26,MATCH('Cash flow forecast'!X$5,Formatting!$F$25:$T$25,0)),0)+IFERROR(INDEX(Formatting!$F$28:$T$28,MATCH('Cash flow forecast'!X$5,Formatting!$F$27:$T$27,0)),0)</f>
        <v>0</v>
      </c>
      <c r="Y11" s="59">
        <f>IFERROR(INDEX(Formatting!$F$24:$T$24,MATCH('Cash flow forecast'!Y$5,Formatting!$F$23:$T$23,0)),0)+IFERROR(INDEX(Formatting!$F$26:$T$26,MATCH('Cash flow forecast'!Y$5,Formatting!$F$25:$T$25,0)),0)+IFERROR(INDEX(Formatting!$F$28:$T$28,MATCH('Cash flow forecast'!Y$5,Formatting!$F$27:$T$27,0)),0)</f>
        <v>0</v>
      </c>
      <c r="Z11" s="59">
        <f>IFERROR(INDEX(Formatting!$F$24:$T$24,MATCH('Cash flow forecast'!Z$5,Formatting!$F$23:$T$23,0)),0)+IFERROR(INDEX(Formatting!$F$26:$T$26,MATCH('Cash flow forecast'!Z$5,Formatting!$F$25:$T$25,0)),0)+IFERROR(INDEX(Formatting!$F$28:$T$28,MATCH('Cash flow forecast'!Z$5,Formatting!$F$27:$T$27,0)),0)</f>
        <v>0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6"/>
    </row>
    <row r="12" spans="1:37" ht="22.15" hidden="1" customHeight="1" outlineLevel="1" x14ac:dyDescent="0.25">
      <c r="B12" s="91" t="s">
        <v>45</v>
      </c>
      <c r="C12" s="144">
        <f>((INDEX(Assumptions!$B$8:$B$46,MATCH("Total Twin",Assumptions!$A$8:$A$46,0)))*((C$10+C$11)*INDEX(Assumptions!$E$60:$E$65,MATCH('Cash flow forecast'!$B12,Assumptions!$A$60:$A$65,0))))</f>
        <v>10276.875</v>
      </c>
      <c r="D12" s="145">
        <f>(((INDEX(Assumptions!$B$8:$B$46,MATCH("Total Twin",Assumptions!$A$8:$A$46,0)))*((D$10+D$11)*INDEX(Assumptions!$E$60:$E$65,MATCH('Cash flow forecast'!$B12,Assumptions!$A$60:$A$65,0)))))*(1+Assumptions!$B$67)</f>
        <v>0</v>
      </c>
      <c r="E12" s="145">
        <f>(((INDEX(Assumptions!$B$8:$B$46,MATCH("Total Twin",Assumptions!$A$8:$A$46,0)))*((E$10+E$11)*INDEX(Assumptions!$E$60:$E$65,MATCH('Cash flow forecast'!$B12,Assumptions!$A$60:$A$65,0)))))*(1+Assumptions!$B$67)</f>
        <v>3699.6750000000002</v>
      </c>
      <c r="F12" s="145">
        <f>(((INDEX(Assumptions!$B$8:$B$46,MATCH("Total Twin",Assumptions!$A$8:$A$46,0)))*((F$10+F$11)*INDEX(Assumptions!$E$60:$E$65,MATCH('Cash flow forecast'!$B12,Assumptions!$A$60:$A$65,0)))))*(1+Assumptions!$B$67)</f>
        <v>0</v>
      </c>
      <c r="G12" s="145">
        <f>(((INDEX(Assumptions!$B$8:$B$46,MATCH("Total Twin",Assumptions!$A$8:$A$46,0)))*((G$10+G$11)*INDEX(Assumptions!$E$60:$E$65,MATCH('Cash flow forecast'!$B12,Assumptions!$A$60:$A$65,0)))))*(1+Assumptions!$B$67)</f>
        <v>0</v>
      </c>
      <c r="H12" s="145">
        <f>(((INDEX(Assumptions!$B$8:$B$46,MATCH("Total Twin",Assumptions!$A$8:$A$46,0)))*((H$10+H$11)*INDEX(Assumptions!$E$60:$E$65,MATCH('Cash flow forecast'!$B12,Assumptions!$A$60:$A$65,0)))))*(1+Assumptions!$B$67)</f>
        <v>0</v>
      </c>
      <c r="I12" s="145">
        <f>(((INDEX(Assumptions!$B$8:$B$46,MATCH("Total Twin",Assumptions!$A$8:$A$46,0)))*((I$10+I$11)*INDEX(Assumptions!$E$60:$E$65,MATCH('Cash flow forecast'!$B12,Assumptions!$A$60:$A$65,0)))))*(1+Assumptions!$B$67)</f>
        <v>9249.1875</v>
      </c>
      <c r="J12" s="145">
        <f>(((INDEX(Assumptions!$B$8:$B$46,MATCH("Total Twin",Assumptions!$A$8:$A$46,0)))*((J$10+J$11)*INDEX(Assumptions!$E$60:$E$65,MATCH('Cash flow forecast'!$B12,Assumptions!$A$60:$A$65,0)))))*(1+Assumptions!$B$67)</f>
        <v>0</v>
      </c>
      <c r="K12" s="145">
        <f>(((INDEX(Assumptions!$B$8:$B$46,MATCH("Total Twin",Assumptions!$A$8:$A$46,0)))*((K$10+K$11)*INDEX(Assumptions!$E$60:$E$65,MATCH('Cash flow forecast'!$B12,Assumptions!$A$60:$A$65,0)))))*(1+Assumptions!$B$67)</f>
        <v>3699.6750000000002</v>
      </c>
      <c r="L12" s="145">
        <f>(((INDEX(Assumptions!$B$8:$B$46,MATCH("Total Twin",Assumptions!$A$8:$A$46,0)))*((L$10+L$11)*INDEX(Assumptions!$E$60:$E$65,MATCH('Cash flow forecast'!$B12,Assumptions!$A$60:$A$65,0)))))*(1+Assumptions!$B$67)</f>
        <v>0</v>
      </c>
      <c r="M12" s="145">
        <f>(((INDEX(Assumptions!$B$8:$B$46,MATCH("Total Twin",Assumptions!$A$8:$A$46,0)))*((M$10+M$11)*INDEX(Assumptions!$E$60:$E$65,MATCH('Cash flow forecast'!$B12,Assumptions!$A$60:$A$65,0)))))*(1+Assumptions!$B$67)</f>
        <v>0</v>
      </c>
      <c r="N12" s="146">
        <f>(((INDEX(Assumptions!$B$8:$B$46,MATCH("Total Twin",Assumptions!$A$8:$A$46,0)))*((N$10+N$11)*INDEX(Assumptions!$E$60:$E$65,MATCH('Cash flow forecast'!$B12,Assumptions!$A$60:$A$65,0)))))*(1+Assumptions!$B$67)</f>
        <v>0</v>
      </c>
      <c r="O12" s="147">
        <f>(((INDEX(Assumptions!$B$8:$B$46,MATCH("Total Twin",Assumptions!$A$8:$A$46,0)))*((O$10+O$11)*INDEX(Assumptions!$E$60:$E$65,MATCH('Cash flow forecast'!$B12,Assumptions!$A$60:$A$65,0)))))*(1+Assumptions!$B$67)</f>
        <v>9249.1875</v>
      </c>
      <c r="P12" s="145">
        <f>(((INDEX(Assumptions!$B$8:$B$46,MATCH("Total Twin",Assumptions!$A$8:$A$46,0)))*((P$10+P$11)*INDEX(Assumptions!$E$60:$E$65,MATCH('Cash flow forecast'!$B12,Assumptions!$A$60:$A$65,0)))))*(1+Assumptions!$B$67)</f>
        <v>0</v>
      </c>
      <c r="Q12" s="145">
        <f>(((INDEX(Assumptions!$B$8:$B$46,MATCH("Total Twin",Assumptions!$A$8:$A$46,0)))*((Q$10+Q$11)*INDEX(Assumptions!$E$60:$E$65,MATCH('Cash flow forecast'!$B12,Assumptions!$A$60:$A$65,0)))))*(1+Assumptions!$B$67)</f>
        <v>3699.6750000000002</v>
      </c>
      <c r="R12" s="145">
        <f>(((INDEX(Assumptions!$B$8:$B$46,MATCH("Total Twin",Assumptions!$A$8:$A$46,0)))*((R$10+R$11)*INDEX(Assumptions!$E$60:$E$65,MATCH('Cash flow forecast'!$B12,Assumptions!$A$60:$A$65,0)))))*(1+Assumptions!$B$67)</f>
        <v>0</v>
      </c>
      <c r="S12" s="145">
        <f>(((INDEX(Assumptions!$B$8:$B$46,MATCH("Total Twin",Assumptions!$A$8:$A$46,0)))*((S$10+S$11)*INDEX(Assumptions!$E$60:$E$65,MATCH('Cash flow forecast'!$B12,Assumptions!$A$60:$A$65,0)))))*(1+Assumptions!$B$67)</f>
        <v>0</v>
      </c>
      <c r="T12" s="145">
        <f>(((INDEX(Assumptions!$B$8:$B$46,MATCH("Total Twin",Assumptions!$A$8:$A$46,0)))*((T$10+T$11)*INDEX(Assumptions!$E$60:$E$65,MATCH('Cash flow forecast'!$B12,Assumptions!$A$60:$A$65,0)))))*(1+Assumptions!$B$67)</f>
        <v>0</v>
      </c>
      <c r="U12" s="145">
        <f>(((INDEX(Assumptions!$B$8:$B$46,MATCH("Total Twin",Assumptions!$A$8:$A$46,0)))*((U$10+U$11)*INDEX(Assumptions!$E$60:$E$65,MATCH('Cash flow forecast'!$B12,Assumptions!$A$60:$A$65,0)))))*(1+Assumptions!$B$67)</f>
        <v>9249.1875</v>
      </c>
      <c r="V12" s="145">
        <f>(((INDEX(Assumptions!$B$8:$B$46,MATCH("Total Twin",Assumptions!$A$8:$A$46,0)))*((V$10+V$11)*INDEX(Assumptions!$E$60:$E$65,MATCH('Cash flow forecast'!$B12,Assumptions!$A$60:$A$65,0)))))*(1+Assumptions!$B$67)</f>
        <v>0</v>
      </c>
      <c r="W12" s="145">
        <f>(((INDEX(Assumptions!$B$8:$B$46,MATCH("Total Twin",Assumptions!$A$8:$A$46,0)))*((W$10+W$11)*INDEX(Assumptions!$E$60:$E$65,MATCH('Cash flow forecast'!$B12,Assumptions!$A$60:$A$65,0)))))*(1+Assumptions!$B$67)</f>
        <v>3699.6750000000002</v>
      </c>
      <c r="X12" s="145">
        <f>(((INDEX(Assumptions!$B$8:$B$46,MATCH("Total Twin",Assumptions!$A$8:$A$46,0)))*((X$10+X$11)*INDEX(Assumptions!$E$60:$E$65,MATCH('Cash flow forecast'!$B12,Assumptions!$A$60:$A$65,0)))))*(1+Assumptions!$B$67)</f>
        <v>9249.1875</v>
      </c>
      <c r="Y12" s="145">
        <f>(((INDEX(Assumptions!$B$8:$B$46,MATCH("Total Twin",Assumptions!$A$8:$A$46,0)))*((Y$10+Y$11)*INDEX(Assumptions!$E$60:$E$65,MATCH('Cash flow forecast'!$B12,Assumptions!$A$60:$A$65,0)))))*(1+Assumptions!$B$67)</f>
        <v>0</v>
      </c>
      <c r="Z12" s="146">
        <f>(((INDEX(Assumptions!$B$8:$B$46,MATCH("Total Twin",Assumptions!$A$8:$A$46,0)))*((Z$10+Z$11)*INDEX(Assumptions!$E$60:$E$65,MATCH('Cash flow forecast'!$B12,Assumptions!$A$60:$A$65,0)))))*(1+Assumptions!$B$67)</f>
        <v>0</v>
      </c>
      <c r="AA12" s="144">
        <f t="shared" ref="AA12:AD16" si="5">SUMIFS($C12:$N12,$C$6:$N$6,AA$5)</f>
        <v>10276.875</v>
      </c>
      <c r="AB12" s="145">
        <f t="shared" si="5"/>
        <v>3699.6750000000002</v>
      </c>
      <c r="AC12" s="145">
        <f t="shared" si="5"/>
        <v>9249.1875</v>
      </c>
      <c r="AD12" s="146">
        <f t="shared" si="5"/>
        <v>3699.6750000000002</v>
      </c>
      <c r="AE12" s="148">
        <f t="shared" ref="AE12:AE35" si="6">SUM($C12:$N12)</f>
        <v>26925.412499999999</v>
      </c>
      <c r="AF12" s="144">
        <f>SUMIFS($O12:$Z12,$O$6:$Z$6,AF$5)</f>
        <v>9249.1875</v>
      </c>
      <c r="AG12" s="145">
        <f t="shared" ref="AG12:AI16" si="7">SUMIFS($O12:$Z12,$O$6:$Z$6,AG$5)</f>
        <v>3699.6750000000002</v>
      </c>
      <c r="AH12" s="145">
        <f t="shared" si="7"/>
        <v>9249.1875</v>
      </c>
      <c r="AI12" s="146">
        <f t="shared" si="7"/>
        <v>12948.862499999999</v>
      </c>
      <c r="AJ12" s="149">
        <f>SUM($O12:$Z12)</f>
        <v>35146.912499999999</v>
      </c>
      <c r="AK12" s="92">
        <f>AVERAGE(AE12,AJ12)/AVERAGE($AE$58,$AJ$58)</f>
        <v>4.4935211832583428E-2</v>
      </c>
    </row>
    <row r="13" spans="1:37" ht="22.15" hidden="1" customHeight="1" outlineLevel="1" x14ac:dyDescent="0.25">
      <c r="B13" s="91" t="s">
        <v>46</v>
      </c>
      <c r="C13" s="150">
        <f>((INDEX(Assumptions!$B$8:$B$46,MATCH("Total Full",Assumptions!$A$8:$A$46,0)))*((C$10+C$11)*INDEX(Assumptions!$E$60:$E$65,MATCH('Cash flow forecast'!$B13,Assumptions!$A$60:$A$65,0))))</f>
        <v>0</v>
      </c>
      <c r="D13" s="151">
        <f>(((INDEX(Assumptions!$B$8:$B$46,MATCH("Total Full",Assumptions!$A$8:$A$46,0)))*((D$10+D$11)*INDEX(Assumptions!$E$60:$E$65,MATCH('Cash flow forecast'!$B13,Assumptions!$A$60:$A$65,0)))))*(1+Assumptions!$B$67)</f>
        <v>0</v>
      </c>
      <c r="E13" s="151">
        <f>(((INDEX(Assumptions!$B$8:$B$46,MATCH("Total Full",Assumptions!$A$8:$A$46,0)))*((E$10+E$11)*INDEX(Assumptions!$E$60:$E$65,MATCH('Cash flow forecast'!$B13,Assumptions!$A$60:$A$65,0)))))*(1+Assumptions!$B$67)</f>
        <v>0</v>
      </c>
      <c r="F13" s="151">
        <f>(((INDEX(Assumptions!$B$8:$B$46,MATCH("Total Full",Assumptions!$A$8:$A$46,0)))*((F$10+F$11)*INDEX(Assumptions!$E$60:$E$65,MATCH('Cash flow forecast'!$B13,Assumptions!$A$60:$A$65,0)))))*(1+Assumptions!$B$67)</f>
        <v>0</v>
      </c>
      <c r="G13" s="151">
        <f>(((INDEX(Assumptions!$B$8:$B$46,MATCH("Total Full",Assumptions!$A$8:$A$46,0)))*((G$10+G$11)*INDEX(Assumptions!$E$60:$E$65,MATCH('Cash flow forecast'!$B13,Assumptions!$A$60:$A$65,0)))))*(1+Assumptions!$B$67)</f>
        <v>0</v>
      </c>
      <c r="H13" s="151">
        <f>(((INDEX(Assumptions!$B$8:$B$46,MATCH("Total Full",Assumptions!$A$8:$A$46,0)))*((H$10+H$11)*INDEX(Assumptions!$E$60:$E$65,MATCH('Cash flow forecast'!$B13,Assumptions!$A$60:$A$65,0)))))*(1+Assumptions!$B$67)</f>
        <v>0</v>
      </c>
      <c r="I13" s="151">
        <f>(((INDEX(Assumptions!$B$8:$B$46,MATCH("Total Full",Assumptions!$A$8:$A$46,0)))*((I$10+I$11)*INDEX(Assumptions!$E$60:$E$65,MATCH('Cash flow forecast'!$B13,Assumptions!$A$60:$A$65,0)))))*(1+Assumptions!$B$67)</f>
        <v>0</v>
      </c>
      <c r="J13" s="151">
        <f>(((INDEX(Assumptions!$B$8:$B$46,MATCH("Total Full",Assumptions!$A$8:$A$46,0)))*((J$10+J$11)*INDEX(Assumptions!$E$60:$E$65,MATCH('Cash flow forecast'!$B13,Assumptions!$A$60:$A$65,0)))))*(1+Assumptions!$B$67)</f>
        <v>0</v>
      </c>
      <c r="K13" s="151">
        <f>(((INDEX(Assumptions!$B$8:$B$46,MATCH("Total Full",Assumptions!$A$8:$A$46,0)))*((K$10+K$11)*INDEX(Assumptions!$E$60:$E$65,MATCH('Cash flow forecast'!$B13,Assumptions!$A$60:$A$65,0)))))*(1+Assumptions!$B$67)</f>
        <v>0</v>
      </c>
      <c r="L13" s="151">
        <f>(((INDEX(Assumptions!$B$8:$B$46,MATCH("Total Full",Assumptions!$A$8:$A$46,0)))*((L$10+L$11)*INDEX(Assumptions!$E$60:$E$65,MATCH('Cash flow forecast'!$B13,Assumptions!$A$60:$A$65,0)))))*(1+Assumptions!$B$67)</f>
        <v>0</v>
      </c>
      <c r="M13" s="151">
        <f>(((INDEX(Assumptions!$B$8:$B$46,MATCH("Total Full",Assumptions!$A$8:$A$46,0)))*((M$10+M$11)*INDEX(Assumptions!$E$60:$E$65,MATCH('Cash flow forecast'!$B13,Assumptions!$A$60:$A$65,0)))))*(1+Assumptions!$B$67)</f>
        <v>0</v>
      </c>
      <c r="N13" s="152">
        <f>(((INDEX(Assumptions!$B$8:$B$46,MATCH("Total Full",Assumptions!$A$8:$A$46,0)))*((N$10+N$11)*INDEX(Assumptions!$E$60:$E$65,MATCH('Cash flow forecast'!$B13,Assumptions!$A$60:$A$65,0)))))*(1+Assumptions!$B$67)</f>
        <v>0</v>
      </c>
      <c r="O13" s="153">
        <f>(((INDEX(Assumptions!$B$8:$B$46,MATCH("Total Full",Assumptions!$A$8:$A$46,0)))*((O$10+O$11)*INDEX(Assumptions!$E$60:$E$65,MATCH('Cash flow forecast'!$B13,Assumptions!$A$60:$A$65,0)))))*(1+Assumptions!$B$67)</f>
        <v>0</v>
      </c>
      <c r="P13" s="151">
        <f>(((INDEX(Assumptions!$B$8:$B$46,MATCH("Total Full",Assumptions!$A$8:$A$46,0)))*((P$10+P$11)*INDEX(Assumptions!$E$60:$E$65,MATCH('Cash flow forecast'!$B13,Assumptions!$A$60:$A$65,0)))))*(1+Assumptions!$B$67)</f>
        <v>0</v>
      </c>
      <c r="Q13" s="151">
        <f>(((INDEX(Assumptions!$B$8:$B$46,MATCH("Total Full",Assumptions!$A$8:$A$46,0)))*((Q$10+Q$11)*INDEX(Assumptions!$E$60:$E$65,MATCH('Cash flow forecast'!$B13,Assumptions!$A$60:$A$65,0)))))*(1+Assumptions!$B$67)</f>
        <v>0</v>
      </c>
      <c r="R13" s="151">
        <f>(((INDEX(Assumptions!$B$8:$B$46,MATCH("Total Full",Assumptions!$A$8:$A$46,0)))*((R$10+R$11)*INDEX(Assumptions!$E$60:$E$65,MATCH('Cash flow forecast'!$B13,Assumptions!$A$60:$A$65,0)))))*(1+Assumptions!$B$67)</f>
        <v>0</v>
      </c>
      <c r="S13" s="151">
        <f>(((INDEX(Assumptions!$B$8:$B$46,MATCH("Total Full",Assumptions!$A$8:$A$46,0)))*((S$10+S$11)*INDEX(Assumptions!$E$60:$E$65,MATCH('Cash flow forecast'!$B13,Assumptions!$A$60:$A$65,0)))))*(1+Assumptions!$B$67)</f>
        <v>0</v>
      </c>
      <c r="T13" s="151">
        <f>(((INDEX(Assumptions!$B$8:$B$46,MATCH("Total Full",Assumptions!$A$8:$A$46,0)))*((T$10+T$11)*INDEX(Assumptions!$E$60:$E$65,MATCH('Cash flow forecast'!$B13,Assumptions!$A$60:$A$65,0)))))*(1+Assumptions!$B$67)</f>
        <v>0</v>
      </c>
      <c r="U13" s="151">
        <f>(((INDEX(Assumptions!$B$8:$B$46,MATCH("Total Full",Assumptions!$A$8:$A$46,0)))*((U$10+U$11)*INDEX(Assumptions!$E$60:$E$65,MATCH('Cash flow forecast'!$B13,Assumptions!$A$60:$A$65,0)))))*(1+Assumptions!$B$67)</f>
        <v>0</v>
      </c>
      <c r="V13" s="151">
        <f>(((INDEX(Assumptions!$B$8:$B$46,MATCH("Total Full",Assumptions!$A$8:$A$46,0)))*((V$10+V$11)*INDEX(Assumptions!$E$60:$E$65,MATCH('Cash flow forecast'!$B13,Assumptions!$A$60:$A$65,0)))))*(1+Assumptions!$B$67)</f>
        <v>0</v>
      </c>
      <c r="W13" s="151">
        <f>(((INDEX(Assumptions!$B$8:$B$46,MATCH("Total Full",Assumptions!$A$8:$A$46,0)))*((W$10+W$11)*INDEX(Assumptions!$E$60:$E$65,MATCH('Cash flow forecast'!$B13,Assumptions!$A$60:$A$65,0)))))*(1+Assumptions!$B$67)</f>
        <v>0</v>
      </c>
      <c r="X13" s="151">
        <f>(((INDEX(Assumptions!$B$8:$B$46,MATCH("Total Full",Assumptions!$A$8:$A$46,0)))*((X$10+X$11)*INDEX(Assumptions!$E$60:$E$65,MATCH('Cash flow forecast'!$B13,Assumptions!$A$60:$A$65,0)))))*(1+Assumptions!$B$67)</f>
        <v>0</v>
      </c>
      <c r="Y13" s="151">
        <f>(((INDEX(Assumptions!$B$8:$B$46,MATCH("Total Full",Assumptions!$A$8:$A$46,0)))*((Y$10+Y$11)*INDEX(Assumptions!$E$60:$E$65,MATCH('Cash flow forecast'!$B13,Assumptions!$A$60:$A$65,0)))))*(1+Assumptions!$B$67)</f>
        <v>0</v>
      </c>
      <c r="Z13" s="152">
        <f>(((INDEX(Assumptions!$B$8:$B$46,MATCH("Total Full",Assumptions!$A$8:$A$46,0)))*((Z$10+Z$11)*INDEX(Assumptions!$E$60:$E$65,MATCH('Cash flow forecast'!$B13,Assumptions!$A$60:$A$65,0)))))*(1+Assumptions!$B$67)</f>
        <v>0</v>
      </c>
      <c r="AA13" s="150">
        <f t="shared" si="5"/>
        <v>0</v>
      </c>
      <c r="AB13" s="151">
        <f t="shared" si="5"/>
        <v>0</v>
      </c>
      <c r="AC13" s="151">
        <f t="shared" si="5"/>
        <v>0</v>
      </c>
      <c r="AD13" s="152">
        <f t="shared" si="5"/>
        <v>0</v>
      </c>
      <c r="AE13" s="154">
        <f t="shared" si="6"/>
        <v>0</v>
      </c>
      <c r="AF13" s="150">
        <f t="shared" ref="AF13:AF16" si="8">SUMIFS($O13:$Z13,$O$6:$Z$6,AF$5)</f>
        <v>0</v>
      </c>
      <c r="AG13" s="151">
        <f t="shared" si="7"/>
        <v>0</v>
      </c>
      <c r="AH13" s="151">
        <f t="shared" si="7"/>
        <v>0</v>
      </c>
      <c r="AI13" s="152">
        <f t="shared" si="7"/>
        <v>0</v>
      </c>
      <c r="AJ13" s="155">
        <f t="shared" ref="AJ13:AJ16" si="9">SUM($O13:$Z13)</f>
        <v>0</v>
      </c>
      <c r="AK13" s="60">
        <f t="shared" ref="AK13:AK17" si="10">AVERAGE(AE13,AJ13)/AVERAGE($AE$58,$AJ$58)</f>
        <v>0</v>
      </c>
    </row>
    <row r="14" spans="1:37" ht="22.15" hidden="1" customHeight="1" outlineLevel="1" x14ac:dyDescent="0.25">
      <c r="B14" s="91" t="s">
        <v>47</v>
      </c>
      <c r="C14" s="150">
        <f>((INDEX(Assumptions!$B$8:$B$46,MATCH("Total Queen",Assumptions!$A$8:$A$46,0)))*((C$10+C$11)*INDEX(Assumptions!$E$60:$E$65,MATCH('Cash flow forecast'!$B14,Assumptions!$A$60:$A$65,0))))</f>
        <v>117000</v>
      </c>
      <c r="D14" s="151">
        <f>(((INDEX(Assumptions!$B$8:$B$46,MATCH("Total Queen",Assumptions!$A$8:$A$46,0)))*((D$10+D$11)*INDEX(Assumptions!$E$60:$E$65,MATCH('Cash flow forecast'!$B14,Assumptions!$A$60:$A$65,0)))))*(1+Assumptions!$B$67)</f>
        <v>0</v>
      </c>
      <c r="E14" s="151">
        <f>(((INDEX(Assumptions!$B$8:$B$46,MATCH("Total Queen",Assumptions!$A$8:$A$46,0)))*((E$10+E$11)*INDEX(Assumptions!$E$60:$E$65,MATCH('Cash flow forecast'!$B14,Assumptions!$A$60:$A$65,0)))))*(1+Assumptions!$B$67)</f>
        <v>42120</v>
      </c>
      <c r="F14" s="151">
        <f>(((INDEX(Assumptions!$B$8:$B$46,MATCH("Total Queen",Assumptions!$A$8:$A$46,0)))*((F$10+F$11)*INDEX(Assumptions!$E$60:$E$65,MATCH('Cash flow forecast'!$B14,Assumptions!$A$60:$A$65,0)))))*(1+Assumptions!$B$67)</f>
        <v>0</v>
      </c>
      <c r="G14" s="151">
        <f>(((INDEX(Assumptions!$B$8:$B$46,MATCH("Total Queen",Assumptions!$A$8:$A$46,0)))*((G$10+G$11)*INDEX(Assumptions!$E$60:$E$65,MATCH('Cash flow forecast'!$B14,Assumptions!$A$60:$A$65,0)))))*(1+Assumptions!$B$67)</f>
        <v>0</v>
      </c>
      <c r="H14" s="151">
        <f>(((INDEX(Assumptions!$B$8:$B$46,MATCH("Total Queen",Assumptions!$A$8:$A$46,0)))*((H$10+H$11)*INDEX(Assumptions!$E$60:$E$65,MATCH('Cash flow forecast'!$B14,Assumptions!$A$60:$A$65,0)))))*(1+Assumptions!$B$67)</f>
        <v>0</v>
      </c>
      <c r="I14" s="151">
        <f>(((INDEX(Assumptions!$B$8:$B$46,MATCH("Total Queen",Assumptions!$A$8:$A$46,0)))*((I$10+I$11)*INDEX(Assumptions!$E$60:$E$65,MATCH('Cash flow forecast'!$B14,Assumptions!$A$60:$A$65,0)))))*(1+Assumptions!$B$67)</f>
        <v>105300</v>
      </c>
      <c r="J14" s="151">
        <f>(((INDEX(Assumptions!$B$8:$B$46,MATCH("Total Queen",Assumptions!$A$8:$A$46,0)))*((J$10+J$11)*INDEX(Assumptions!$E$60:$E$65,MATCH('Cash flow forecast'!$B14,Assumptions!$A$60:$A$65,0)))))*(1+Assumptions!$B$67)</f>
        <v>0</v>
      </c>
      <c r="K14" s="151">
        <f>(((INDEX(Assumptions!$B$8:$B$46,MATCH("Total Queen",Assumptions!$A$8:$A$46,0)))*((K$10+K$11)*INDEX(Assumptions!$E$60:$E$65,MATCH('Cash flow forecast'!$B14,Assumptions!$A$60:$A$65,0)))))*(1+Assumptions!$B$67)</f>
        <v>42120</v>
      </c>
      <c r="L14" s="151">
        <f>(((INDEX(Assumptions!$B$8:$B$46,MATCH("Total Queen",Assumptions!$A$8:$A$46,0)))*((L$10+L$11)*INDEX(Assumptions!$E$60:$E$65,MATCH('Cash flow forecast'!$B14,Assumptions!$A$60:$A$65,0)))))*(1+Assumptions!$B$67)</f>
        <v>0</v>
      </c>
      <c r="M14" s="151">
        <f>(((INDEX(Assumptions!$B$8:$B$46,MATCH("Total Queen",Assumptions!$A$8:$A$46,0)))*((M$10+M$11)*INDEX(Assumptions!$E$60:$E$65,MATCH('Cash flow forecast'!$B14,Assumptions!$A$60:$A$65,0)))))*(1+Assumptions!$B$67)</f>
        <v>0</v>
      </c>
      <c r="N14" s="152">
        <f>(((INDEX(Assumptions!$B$8:$B$46,MATCH("Total Queen",Assumptions!$A$8:$A$46,0)))*((N$10+N$11)*INDEX(Assumptions!$E$60:$E$65,MATCH('Cash flow forecast'!$B14,Assumptions!$A$60:$A$65,0)))))*(1+Assumptions!$B$67)</f>
        <v>0</v>
      </c>
      <c r="O14" s="153">
        <f>(((INDEX(Assumptions!$B$8:$B$46,MATCH("Total Queen",Assumptions!$A$8:$A$46,0)))*((O$10+O$11)*INDEX(Assumptions!$E$60:$E$65,MATCH('Cash flow forecast'!$B14,Assumptions!$A$60:$A$65,0)))))*(1+Assumptions!$B$67)</f>
        <v>105300</v>
      </c>
      <c r="P14" s="151">
        <f>(((INDEX(Assumptions!$B$8:$B$46,MATCH("Total Queen",Assumptions!$A$8:$A$46,0)))*((P$10+P$11)*INDEX(Assumptions!$E$60:$E$65,MATCH('Cash flow forecast'!$B14,Assumptions!$A$60:$A$65,0)))))*(1+Assumptions!$B$67)</f>
        <v>0</v>
      </c>
      <c r="Q14" s="151">
        <f>(((INDEX(Assumptions!$B$8:$B$46,MATCH("Total Queen",Assumptions!$A$8:$A$46,0)))*((Q$10+Q$11)*INDEX(Assumptions!$E$60:$E$65,MATCH('Cash flow forecast'!$B14,Assumptions!$A$60:$A$65,0)))))*(1+Assumptions!$B$67)</f>
        <v>42120</v>
      </c>
      <c r="R14" s="151">
        <f>(((INDEX(Assumptions!$B$8:$B$46,MATCH("Total Queen",Assumptions!$A$8:$A$46,0)))*((R$10+R$11)*INDEX(Assumptions!$E$60:$E$65,MATCH('Cash flow forecast'!$B14,Assumptions!$A$60:$A$65,0)))))*(1+Assumptions!$B$67)</f>
        <v>0</v>
      </c>
      <c r="S14" s="151">
        <f>(((INDEX(Assumptions!$B$8:$B$46,MATCH("Total Queen",Assumptions!$A$8:$A$46,0)))*((S$10+S$11)*INDEX(Assumptions!$E$60:$E$65,MATCH('Cash flow forecast'!$B14,Assumptions!$A$60:$A$65,0)))))*(1+Assumptions!$B$67)</f>
        <v>0</v>
      </c>
      <c r="T14" s="151">
        <f>(((INDEX(Assumptions!$B$8:$B$46,MATCH("Total Queen",Assumptions!$A$8:$A$46,0)))*((T$10+T$11)*INDEX(Assumptions!$E$60:$E$65,MATCH('Cash flow forecast'!$B14,Assumptions!$A$60:$A$65,0)))))*(1+Assumptions!$B$67)</f>
        <v>0</v>
      </c>
      <c r="U14" s="151">
        <f>(((INDEX(Assumptions!$B$8:$B$46,MATCH("Total Queen",Assumptions!$A$8:$A$46,0)))*((U$10+U$11)*INDEX(Assumptions!$E$60:$E$65,MATCH('Cash flow forecast'!$B14,Assumptions!$A$60:$A$65,0)))))*(1+Assumptions!$B$67)</f>
        <v>105300</v>
      </c>
      <c r="V14" s="151">
        <f>(((INDEX(Assumptions!$B$8:$B$46,MATCH("Total Queen",Assumptions!$A$8:$A$46,0)))*((V$10+V$11)*INDEX(Assumptions!$E$60:$E$65,MATCH('Cash flow forecast'!$B14,Assumptions!$A$60:$A$65,0)))))*(1+Assumptions!$B$67)</f>
        <v>0</v>
      </c>
      <c r="W14" s="151">
        <f>(((INDEX(Assumptions!$B$8:$B$46,MATCH("Total Queen",Assumptions!$A$8:$A$46,0)))*((W$10+W$11)*INDEX(Assumptions!$E$60:$E$65,MATCH('Cash flow forecast'!$B14,Assumptions!$A$60:$A$65,0)))))*(1+Assumptions!$B$67)</f>
        <v>42120</v>
      </c>
      <c r="X14" s="151">
        <f>(((INDEX(Assumptions!$B$8:$B$46,MATCH("Total Queen",Assumptions!$A$8:$A$46,0)))*((X$10+X$11)*INDEX(Assumptions!$E$60:$E$65,MATCH('Cash flow forecast'!$B14,Assumptions!$A$60:$A$65,0)))))*(1+Assumptions!$B$67)</f>
        <v>105300</v>
      </c>
      <c r="Y14" s="151">
        <f>(((INDEX(Assumptions!$B$8:$B$46,MATCH("Total Queen",Assumptions!$A$8:$A$46,0)))*((Y$10+Y$11)*INDEX(Assumptions!$E$60:$E$65,MATCH('Cash flow forecast'!$B14,Assumptions!$A$60:$A$65,0)))))*(1+Assumptions!$B$67)</f>
        <v>0</v>
      </c>
      <c r="Z14" s="152">
        <f>(((INDEX(Assumptions!$B$8:$B$46,MATCH("Total Queen",Assumptions!$A$8:$A$46,0)))*((Z$10+Z$11)*INDEX(Assumptions!$E$60:$E$65,MATCH('Cash flow forecast'!$B14,Assumptions!$A$60:$A$65,0)))))*(1+Assumptions!$B$67)</f>
        <v>0</v>
      </c>
      <c r="AA14" s="150">
        <f t="shared" si="5"/>
        <v>117000</v>
      </c>
      <c r="AB14" s="151">
        <f t="shared" si="5"/>
        <v>42120</v>
      </c>
      <c r="AC14" s="151">
        <f t="shared" si="5"/>
        <v>105300</v>
      </c>
      <c r="AD14" s="152">
        <f t="shared" si="5"/>
        <v>42120</v>
      </c>
      <c r="AE14" s="154">
        <f t="shared" si="6"/>
        <v>306540</v>
      </c>
      <c r="AF14" s="150">
        <f t="shared" si="8"/>
        <v>105300</v>
      </c>
      <c r="AG14" s="151">
        <f t="shared" si="7"/>
        <v>42120</v>
      </c>
      <c r="AH14" s="151">
        <f t="shared" si="7"/>
        <v>105300</v>
      </c>
      <c r="AI14" s="152">
        <f t="shared" si="7"/>
        <v>147420</v>
      </c>
      <c r="AJ14" s="155">
        <f t="shared" si="9"/>
        <v>400140</v>
      </c>
      <c r="AK14" s="60">
        <f t="shared" si="10"/>
        <v>0.5115776716572169</v>
      </c>
    </row>
    <row r="15" spans="1:37" ht="22.15" hidden="1" customHeight="1" outlineLevel="1" x14ac:dyDescent="0.25">
      <c r="B15" s="91" t="s">
        <v>48</v>
      </c>
      <c r="C15" s="150">
        <f>((INDEX(Assumptions!$B$8:$B$46,MATCH("Total King",Assumptions!$A$8:$A$46,0)))*((C$10+C$11)*INDEX(Assumptions!$E$60:$E$65,MATCH('Cash flow forecast'!$B15,Assumptions!$A$60:$A$65,0))))</f>
        <v>19125</v>
      </c>
      <c r="D15" s="151">
        <f>(((INDEX(Assumptions!$B$8:$B$46,MATCH("Total King",Assumptions!$A$8:$A$46,0)))*((D$10+D$11)*INDEX(Assumptions!$E$60:$E$65,MATCH('Cash flow forecast'!$B15,Assumptions!$A$60:$A$65,0)))))*(1+Assumptions!$B$67)</f>
        <v>0</v>
      </c>
      <c r="E15" s="151">
        <f>(((INDEX(Assumptions!$B$8:$B$46,MATCH("Total King",Assumptions!$A$8:$A$46,0)))*((E$10+E$11)*INDEX(Assumptions!$E$60:$E$65,MATCH('Cash flow forecast'!$B15,Assumptions!$A$60:$A$65,0)))))*(1+Assumptions!$B$67)</f>
        <v>6885</v>
      </c>
      <c r="F15" s="151">
        <f>(((INDEX(Assumptions!$B$8:$B$46,MATCH("Total King",Assumptions!$A$8:$A$46,0)))*((F$10+F$11)*INDEX(Assumptions!$E$60:$E$65,MATCH('Cash flow forecast'!$B15,Assumptions!$A$60:$A$65,0)))))*(1+Assumptions!$B$67)</f>
        <v>0</v>
      </c>
      <c r="G15" s="151">
        <f>(((INDEX(Assumptions!$B$8:$B$46,MATCH("Total King",Assumptions!$A$8:$A$46,0)))*((G$10+G$11)*INDEX(Assumptions!$E$60:$E$65,MATCH('Cash flow forecast'!$B15,Assumptions!$A$60:$A$65,0)))))*(1+Assumptions!$B$67)</f>
        <v>0</v>
      </c>
      <c r="H15" s="151">
        <f>(((INDEX(Assumptions!$B$8:$B$46,MATCH("Total King",Assumptions!$A$8:$A$46,0)))*((H$10+H$11)*INDEX(Assumptions!$E$60:$E$65,MATCH('Cash flow forecast'!$B15,Assumptions!$A$60:$A$65,0)))))*(1+Assumptions!$B$67)</f>
        <v>0</v>
      </c>
      <c r="I15" s="151">
        <f>(((INDEX(Assumptions!$B$8:$B$46,MATCH("Total King",Assumptions!$A$8:$A$46,0)))*((I$10+I$11)*INDEX(Assumptions!$E$60:$E$65,MATCH('Cash flow forecast'!$B15,Assumptions!$A$60:$A$65,0)))))*(1+Assumptions!$B$67)</f>
        <v>17212.5</v>
      </c>
      <c r="J15" s="151">
        <f>(((INDEX(Assumptions!$B$8:$B$46,MATCH("Total King",Assumptions!$A$8:$A$46,0)))*((J$10+J$11)*INDEX(Assumptions!$E$60:$E$65,MATCH('Cash flow forecast'!$B15,Assumptions!$A$60:$A$65,0)))))*(1+Assumptions!$B$67)</f>
        <v>0</v>
      </c>
      <c r="K15" s="151">
        <f>(((INDEX(Assumptions!$B$8:$B$46,MATCH("Total King",Assumptions!$A$8:$A$46,0)))*((K$10+K$11)*INDEX(Assumptions!$E$60:$E$65,MATCH('Cash flow forecast'!$B15,Assumptions!$A$60:$A$65,0)))))*(1+Assumptions!$B$67)</f>
        <v>6885</v>
      </c>
      <c r="L15" s="151">
        <f>(((INDEX(Assumptions!$B$8:$B$46,MATCH("Total King",Assumptions!$A$8:$A$46,0)))*((L$10+L$11)*INDEX(Assumptions!$E$60:$E$65,MATCH('Cash flow forecast'!$B15,Assumptions!$A$60:$A$65,0)))))*(1+Assumptions!$B$67)</f>
        <v>0</v>
      </c>
      <c r="M15" s="151">
        <f>(((INDEX(Assumptions!$B$8:$B$46,MATCH("Total King",Assumptions!$A$8:$A$46,0)))*((M$10+M$11)*INDEX(Assumptions!$E$60:$E$65,MATCH('Cash flow forecast'!$B15,Assumptions!$A$60:$A$65,0)))))*(1+Assumptions!$B$67)</f>
        <v>0</v>
      </c>
      <c r="N15" s="152">
        <f>(((INDEX(Assumptions!$B$8:$B$46,MATCH("Total King",Assumptions!$A$8:$A$46,0)))*((N$10+N$11)*INDEX(Assumptions!$E$60:$E$65,MATCH('Cash flow forecast'!$B15,Assumptions!$A$60:$A$65,0)))))*(1+Assumptions!$B$67)</f>
        <v>0</v>
      </c>
      <c r="O15" s="153">
        <f>(((INDEX(Assumptions!$B$8:$B$46,MATCH("Total King",Assumptions!$A$8:$A$46,0)))*((O$10+O$11)*INDEX(Assumptions!$E$60:$E$65,MATCH('Cash flow forecast'!$B15,Assumptions!$A$60:$A$65,0)))))*(1+Assumptions!$B$67)</f>
        <v>17212.5</v>
      </c>
      <c r="P15" s="151">
        <f>(((INDEX(Assumptions!$B$8:$B$46,MATCH("Total King",Assumptions!$A$8:$A$46,0)))*((P$10+P$11)*INDEX(Assumptions!$E$60:$E$65,MATCH('Cash flow forecast'!$B15,Assumptions!$A$60:$A$65,0)))))*(1+Assumptions!$B$67)</f>
        <v>0</v>
      </c>
      <c r="Q15" s="151">
        <f>(((INDEX(Assumptions!$B$8:$B$46,MATCH("Total King",Assumptions!$A$8:$A$46,0)))*((Q$10+Q$11)*INDEX(Assumptions!$E$60:$E$65,MATCH('Cash flow forecast'!$B15,Assumptions!$A$60:$A$65,0)))))*(1+Assumptions!$B$67)</f>
        <v>6885</v>
      </c>
      <c r="R15" s="151">
        <f>(((INDEX(Assumptions!$B$8:$B$46,MATCH("Total King",Assumptions!$A$8:$A$46,0)))*((R$10+R$11)*INDEX(Assumptions!$E$60:$E$65,MATCH('Cash flow forecast'!$B15,Assumptions!$A$60:$A$65,0)))))*(1+Assumptions!$B$67)</f>
        <v>0</v>
      </c>
      <c r="S15" s="151">
        <f>(((INDEX(Assumptions!$B$8:$B$46,MATCH("Total King",Assumptions!$A$8:$A$46,0)))*((S$10+S$11)*INDEX(Assumptions!$E$60:$E$65,MATCH('Cash flow forecast'!$B15,Assumptions!$A$60:$A$65,0)))))*(1+Assumptions!$B$67)</f>
        <v>0</v>
      </c>
      <c r="T15" s="151">
        <f>(((INDEX(Assumptions!$B$8:$B$46,MATCH("Total King",Assumptions!$A$8:$A$46,0)))*((T$10+T$11)*INDEX(Assumptions!$E$60:$E$65,MATCH('Cash flow forecast'!$B15,Assumptions!$A$60:$A$65,0)))))*(1+Assumptions!$B$67)</f>
        <v>0</v>
      </c>
      <c r="U15" s="151">
        <f>(((INDEX(Assumptions!$B$8:$B$46,MATCH("Total King",Assumptions!$A$8:$A$46,0)))*((U$10+U$11)*INDEX(Assumptions!$E$60:$E$65,MATCH('Cash flow forecast'!$B15,Assumptions!$A$60:$A$65,0)))))*(1+Assumptions!$B$67)</f>
        <v>17212.5</v>
      </c>
      <c r="V15" s="151">
        <f>(((INDEX(Assumptions!$B$8:$B$46,MATCH("Total King",Assumptions!$A$8:$A$46,0)))*((V$10+V$11)*INDEX(Assumptions!$E$60:$E$65,MATCH('Cash flow forecast'!$B15,Assumptions!$A$60:$A$65,0)))))*(1+Assumptions!$B$67)</f>
        <v>0</v>
      </c>
      <c r="W15" s="151">
        <f>(((INDEX(Assumptions!$B$8:$B$46,MATCH("Total King",Assumptions!$A$8:$A$46,0)))*((W$10+W$11)*INDEX(Assumptions!$E$60:$E$65,MATCH('Cash flow forecast'!$B15,Assumptions!$A$60:$A$65,0)))))*(1+Assumptions!$B$67)</f>
        <v>6885</v>
      </c>
      <c r="X15" s="151">
        <f>(((INDEX(Assumptions!$B$8:$B$46,MATCH("Total King",Assumptions!$A$8:$A$46,0)))*((X$10+X$11)*INDEX(Assumptions!$E$60:$E$65,MATCH('Cash flow forecast'!$B15,Assumptions!$A$60:$A$65,0)))))*(1+Assumptions!$B$67)</f>
        <v>17212.5</v>
      </c>
      <c r="Y15" s="151">
        <f>(((INDEX(Assumptions!$B$8:$B$46,MATCH("Total King",Assumptions!$A$8:$A$46,0)))*((Y$10+Y$11)*INDEX(Assumptions!$E$60:$E$65,MATCH('Cash flow forecast'!$B15,Assumptions!$A$60:$A$65,0)))))*(1+Assumptions!$B$67)</f>
        <v>0</v>
      </c>
      <c r="Z15" s="152">
        <f>(((INDEX(Assumptions!$B$8:$B$46,MATCH("Total King",Assumptions!$A$8:$A$46,0)))*((Z$10+Z$11)*INDEX(Assumptions!$E$60:$E$65,MATCH('Cash flow forecast'!$B15,Assumptions!$A$60:$A$65,0)))))*(1+Assumptions!$B$67)</f>
        <v>0</v>
      </c>
      <c r="AA15" s="150">
        <f t="shared" si="5"/>
        <v>19125</v>
      </c>
      <c r="AB15" s="151">
        <f t="shared" si="5"/>
        <v>6885</v>
      </c>
      <c r="AC15" s="151">
        <f t="shared" si="5"/>
        <v>17212.5</v>
      </c>
      <c r="AD15" s="152">
        <f t="shared" si="5"/>
        <v>6885</v>
      </c>
      <c r="AE15" s="154">
        <f t="shared" si="6"/>
        <v>50107.5</v>
      </c>
      <c r="AF15" s="150">
        <f t="shared" si="8"/>
        <v>17212.5</v>
      </c>
      <c r="AG15" s="151">
        <f t="shared" si="7"/>
        <v>6885</v>
      </c>
      <c r="AH15" s="151">
        <f t="shared" si="7"/>
        <v>17212.5</v>
      </c>
      <c r="AI15" s="152">
        <f t="shared" si="7"/>
        <v>24097.5</v>
      </c>
      <c r="AJ15" s="155">
        <f t="shared" si="9"/>
        <v>65407.5</v>
      </c>
      <c r="AK15" s="60">
        <f t="shared" si="10"/>
        <v>8.3623273251660468E-2</v>
      </c>
    </row>
    <row r="16" spans="1:37" ht="22.15" hidden="1" customHeight="1" outlineLevel="1" x14ac:dyDescent="0.25">
      <c r="B16" s="91" t="s">
        <v>49</v>
      </c>
      <c r="C16" s="150">
        <f>((INDEX(Assumptions!$B$8:$B$46,MATCH("Total Universal",Assumptions!$A$8:$A$46,0)))*((C$10+C$11)*INDEX(Assumptions!$E$60:$E$65,MATCH('Cash flow forecast'!$B16,Assumptions!$A$60:$A$65,0))))</f>
        <v>0</v>
      </c>
      <c r="D16" s="151">
        <f>(((INDEX(Assumptions!$B$8:$B$46,MATCH("Total Universal",Assumptions!$A$8:$A$46,0)))*((D$10+D$11)*INDEX(Assumptions!$E$60:$E$65,MATCH('Cash flow forecast'!$B16,Assumptions!$A$60:$A$65,0)))))*(1+Assumptions!$B$67)</f>
        <v>0</v>
      </c>
      <c r="E16" s="151">
        <f>(((INDEX(Assumptions!$B$8:$B$46,MATCH("Total Universal",Assumptions!$A$8:$A$46,0)))*((E$10+E$11)*INDEX(Assumptions!$E$60:$E$65,MATCH('Cash flow forecast'!$B16,Assumptions!$A$60:$A$65,0)))))*(1+Assumptions!$B$67)</f>
        <v>0</v>
      </c>
      <c r="F16" s="151">
        <f>(((INDEX(Assumptions!$B$8:$B$46,MATCH("Total Universal",Assumptions!$A$8:$A$46,0)))*((F$10+F$11)*INDEX(Assumptions!$E$60:$E$65,MATCH('Cash flow forecast'!$B16,Assumptions!$A$60:$A$65,0)))))*(1+Assumptions!$B$67)</f>
        <v>0</v>
      </c>
      <c r="G16" s="151">
        <f>(((INDEX(Assumptions!$B$8:$B$46,MATCH("Total Universal",Assumptions!$A$8:$A$46,0)))*((G$10+G$11)*INDEX(Assumptions!$E$60:$E$65,MATCH('Cash flow forecast'!$B16,Assumptions!$A$60:$A$65,0)))))*(1+Assumptions!$B$67)</f>
        <v>0</v>
      </c>
      <c r="H16" s="151">
        <f>(((INDEX(Assumptions!$B$8:$B$46,MATCH("Total Universal",Assumptions!$A$8:$A$46,0)))*((H$10+H$11)*INDEX(Assumptions!$E$60:$E$65,MATCH('Cash flow forecast'!$B16,Assumptions!$A$60:$A$65,0)))))*(1+Assumptions!$B$67)</f>
        <v>0</v>
      </c>
      <c r="I16" s="151">
        <f>(((INDEX(Assumptions!$B$8:$B$46,MATCH("Total Universal",Assumptions!$A$8:$A$46,0)))*((I$10+I$11)*INDEX(Assumptions!$E$60:$E$65,MATCH('Cash flow forecast'!$B16,Assumptions!$A$60:$A$65,0)))))*(1+Assumptions!$B$67)</f>
        <v>0</v>
      </c>
      <c r="J16" s="151">
        <f>(((INDEX(Assumptions!$B$8:$B$46,MATCH("Total Universal",Assumptions!$A$8:$A$46,0)))*((J$10+J$11)*INDEX(Assumptions!$E$60:$E$65,MATCH('Cash flow forecast'!$B16,Assumptions!$A$60:$A$65,0)))))*(1+Assumptions!$B$67)</f>
        <v>0</v>
      </c>
      <c r="K16" s="151">
        <f>(((INDEX(Assumptions!$B$8:$B$46,MATCH("Total Universal",Assumptions!$A$8:$A$46,0)))*((K$10+K$11)*INDEX(Assumptions!$E$60:$E$65,MATCH('Cash flow forecast'!$B16,Assumptions!$A$60:$A$65,0)))))*(1+Assumptions!$B$67)</f>
        <v>0</v>
      </c>
      <c r="L16" s="151">
        <f>(((INDEX(Assumptions!$B$8:$B$46,MATCH("Total Universal",Assumptions!$A$8:$A$46,0)))*((L$10+L$11)*INDEX(Assumptions!$E$60:$E$65,MATCH('Cash flow forecast'!$B16,Assumptions!$A$60:$A$65,0)))))*(1+Assumptions!$B$67)</f>
        <v>0</v>
      </c>
      <c r="M16" s="151">
        <f>(((INDEX(Assumptions!$B$8:$B$46,MATCH("Total Universal",Assumptions!$A$8:$A$46,0)))*((M$10+M$11)*INDEX(Assumptions!$E$60:$E$65,MATCH('Cash flow forecast'!$B16,Assumptions!$A$60:$A$65,0)))))*(1+Assumptions!$B$67)</f>
        <v>0</v>
      </c>
      <c r="N16" s="152">
        <f>(((INDEX(Assumptions!$B$8:$B$46,MATCH("Total Universal",Assumptions!$A$8:$A$46,0)))*((N$10+N$11)*INDEX(Assumptions!$E$60:$E$65,MATCH('Cash flow forecast'!$B16,Assumptions!$A$60:$A$65,0)))))*(1+Assumptions!$B$67)</f>
        <v>0</v>
      </c>
      <c r="O16" s="153">
        <f>(((INDEX(Assumptions!$B$8:$B$46,MATCH("Total Universal",Assumptions!$A$8:$A$46,0)))*((O$10+O$11)*INDEX(Assumptions!$E$60:$E$65,MATCH('Cash flow forecast'!$B16,Assumptions!$A$60:$A$65,0)))))*(1+Assumptions!$B$67)</f>
        <v>0</v>
      </c>
      <c r="P16" s="151">
        <f>(((INDEX(Assumptions!$B$8:$B$46,MATCH("Total Universal",Assumptions!$A$8:$A$46,0)))*((P$10+P$11)*INDEX(Assumptions!$E$60:$E$65,MATCH('Cash flow forecast'!$B16,Assumptions!$A$60:$A$65,0)))))*(1+Assumptions!$B$67)</f>
        <v>0</v>
      </c>
      <c r="Q16" s="151">
        <f>(((INDEX(Assumptions!$B$8:$B$46,MATCH("Total Universal",Assumptions!$A$8:$A$46,0)))*((Q$10+Q$11)*INDEX(Assumptions!$E$60:$E$65,MATCH('Cash flow forecast'!$B16,Assumptions!$A$60:$A$65,0)))))*(1+Assumptions!$B$67)</f>
        <v>0</v>
      </c>
      <c r="R16" s="151">
        <f>(((INDEX(Assumptions!$B$8:$B$46,MATCH("Total Universal",Assumptions!$A$8:$A$46,0)))*((R$10+R$11)*INDEX(Assumptions!$E$60:$E$65,MATCH('Cash flow forecast'!$B16,Assumptions!$A$60:$A$65,0)))))*(1+Assumptions!$B$67)</f>
        <v>0</v>
      </c>
      <c r="S16" s="151">
        <f>(((INDEX(Assumptions!$B$8:$B$46,MATCH("Total Universal",Assumptions!$A$8:$A$46,0)))*((S$10+S$11)*INDEX(Assumptions!$E$60:$E$65,MATCH('Cash flow forecast'!$B16,Assumptions!$A$60:$A$65,0)))))*(1+Assumptions!$B$67)</f>
        <v>0</v>
      </c>
      <c r="T16" s="151">
        <f>(((INDEX(Assumptions!$B$8:$B$46,MATCH("Total Universal",Assumptions!$A$8:$A$46,0)))*((T$10+T$11)*INDEX(Assumptions!$E$60:$E$65,MATCH('Cash flow forecast'!$B16,Assumptions!$A$60:$A$65,0)))))*(1+Assumptions!$B$67)</f>
        <v>0</v>
      </c>
      <c r="U16" s="151">
        <f>(((INDEX(Assumptions!$B$8:$B$46,MATCH("Total Universal",Assumptions!$A$8:$A$46,0)))*((U$10+U$11)*INDEX(Assumptions!$E$60:$E$65,MATCH('Cash flow forecast'!$B16,Assumptions!$A$60:$A$65,0)))))*(1+Assumptions!$B$67)</f>
        <v>0</v>
      </c>
      <c r="V16" s="151">
        <f>(((INDEX(Assumptions!$B$8:$B$46,MATCH("Total Universal",Assumptions!$A$8:$A$46,0)))*((V$10+V$11)*INDEX(Assumptions!$E$60:$E$65,MATCH('Cash flow forecast'!$B16,Assumptions!$A$60:$A$65,0)))))*(1+Assumptions!$B$67)</f>
        <v>0</v>
      </c>
      <c r="W16" s="151">
        <f>(((INDEX(Assumptions!$B$8:$B$46,MATCH("Total Universal",Assumptions!$A$8:$A$46,0)))*((W$10+W$11)*INDEX(Assumptions!$E$60:$E$65,MATCH('Cash flow forecast'!$B16,Assumptions!$A$60:$A$65,0)))))*(1+Assumptions!$B$67)</f>
        <v>0</v>
      </c>
      <c r="X16" s="151">
        <f>(((INDEX(Assumptions!$B$8:$B$46,MATCH("Total Universal",Assumptions!$A$8:$A$46,0)))*((X$10+X$11)*INDEX(Assumptions!$E$60:$E$65,MATCH('Cash flow forecast'!$B16,Assumptions!$A$60:$A$65,0)))))*(1+Assumptions!$B$67)</f>
        <v>0</v>
      </c>
      <c r="Y16" s="151">
        <f>(((INDEX(Assumptions!$B$8:$B$46,MATCH("Total Universal",Assumptions!$A$8:$A$46,0)))*((Y$10+Y$11)*INDEX(Assumptions!$E$60:$E$65,MATCH('Cash flow forecast'!$B16,Assumptions!$A$60:$A$65,0)))))*(1+Assumptions!$B$67)</f>
        <v>0</v>
      </c>
      <c r="Z16" s="152">
        <f>(((INDEX(Assumptions!$B$8:$B$46,MATCH("Total Universal",Assumptions!$A$8:$A$46,0)))*((Z$10+Z$11)*INDEX(Assumptions!$E$60:$E$65,MATCH('Cash flow forecast'!$B16,Assumptions!$A$60:$A$65,0)))))*(1+Assumptions!$B$67)</f>
        <v>0</v>
      </c>
      <c r="AA16" s="150">
        <f t="shared" si="5"/>
        <v>0</v>
      </c>
      <c r="AB16" s="151">
        <f t="shared" si="5"/>
        <v>0</v>
      </c>
      <c r="AC16" s="151">
        <f t="shared" si="5"/>
        <v>0</v>
      </c>
      <c r="AD16" s="152">
        <f t="shared" si="5"/>
        <v>0</v>
      </c>
      <c r="AE16" s="154">
        <f t="shared" si="6"/>
        <v>0</v>
      </c>
      <c r="AF16" s="150">
        <f t="shared" si="8"/>
        <v>0</v>
      </c>
      <c r="AG16" s="151">
        <f t="shared" si="7"/>
        <v>0</v>
      </c>
      <c r="AH16" s="151">
        <f t="shared" si="7"/>
        <v>0</v>
      </c>
      <c r="AI16" s="152">
        <f t="shared" si="7"/>
        <v>0</v>
      </c>
      <c r="AJ16" s="155">
        <f t="shared" si="9"/>
        <v>0</v>
      </c>
      <c r="AK16" s="60">
        <f t="shared" si="10"/>
        <v>0</v>
      </c>
    </row>
    <row r="17" spans="2:37" ht="22.15" hidden="1" customHeight="1" outlineLevel="1" x14ac:dyDescent="0.25">
      <c r="B17" s="96" t="s">
        <v>0</v>
      </c>
      <c r="C17" s="156">
        <f>SUM(C12:C16)</f>
        <v>146401.875</v>
      </c>
      <c r="D17" s="157">
        <f t="shared" ref="D17:AJ17" si="11">SUM(D12:D16)</f>
        <v>0</v>
      </c>
      <c r="E17" s="157">
        <f t="shared" si="11"/>
        <v>52704.675000000003</v>
      </c>
      <c r="F17" s="157">
        <f t="shared" si="11"/>
        <v>0</v>
      </c>
      <c r="G17" s="157">
        <f t="shared" si="11"/>
        <v>0</v>
      </c>
      <c r="H17" s="157">
        <f t="shared" si="11"/>
        <v>0</v>
      </c>
      <c r="I17" s="157">
        <f t="shared" si="11"/>
        <v>131761.6875</v>
      </c>
      <c r="J17" s="157">
        <f t="shared" si="11"/>
        <v>0</v>
      </c>
      <c r="K17" s="157">
        <f t="shared" si="11"/>
        <v>52704.675000000003</v>
      </c>
      <c r="L17" s="157">
        <f t="shared" si="11"/>
        <v>0</v>
      </c>
      <c r="M17" s="157">
        <f t="shared" si="11"/>
        <v>0</v>
      </c>
      <c r="N17" s="158">
        <f t="shared" si="11"/>
        <v>0</v>
      </c>
      <c r="O17" s="157">
        <f t="shared" si="11"/>
        <v>131761.6875</v>
      </c>
      <c r="P17" s="157">
        <f t="shared" si="11"/>
        <v>0</v>
      </c>
      <c r="Q17" s="157">
        <f t="shared" si="11"/>
        <v>52704.675000000003</v>
      </c>
      <c r="R17" s="157">
        <f t="shared" si="11"/>
        <v>0</v>
      </c>
      <c r="S17" s="157">
        <f t="shared" si="11"/>
        <v>0</v>
      </c>
      <c r="T17" s="157">
        <f t="shared" si="11"/>
        <v>0</v>
      </c>
      <c r="U17" s="157">
        <f t="shared" si="11"/>
        <v>131761.6875</v>
      </c>
      <c r="V17" s="157">
        <f t="shared" si="11"/>
        <v>0</v>
      </c>
      <c r="W17" s="157">
        <f t="shared" si="11"/>
        <v>52704.675000000003</v>
      </c>
      <c r="X17" s="157">
        <f t="shared" si="11"/>
        <v>131761.6875</v>
      </c>
      <c r="Y17" s="157">
        <f t="shared" si="11"/>
        <v>0</v>
      </c>
      <c r="Z17" s="158">
        <f t="shared" si="11"/>
        <v>0</v>
      </c>
      <c r="AA17" s="156">
        <f t="shared" si="11"/>
        <v>146401.875</v>
      </c>
      <c r="AB17" s="157">
        <f t="shared" si="11"/>
        <v>52704.675000000003</v>
      </c>
      <c r="AC17" s="157">
        <f t="shared" si="11"/>
        <v>131761.6875</v>
      </c>
      <c r="AD17" s="158">
        <f t="shared" si="11"/>
        <v>52704.675000000003</v>
      </c>
      <c r="AE17" s="159">
        <f t="shared" si="11"/>
        <v>383572.91249999998</v>
      </c>
      <c r="AF17" s="156">
        <f t="shared" si="11"/>
        <v>131761.6875</v>
      </c>
      <c r="AG17" s="157">
        <f t="shared" si="11"/>
        <v>52704.675000000003</v>
      </c>
      <c r="AH17" s="157">
        <f t="shared" si="11"/>
        <v>131761.6875</v>
      </c>
      <c r="AI17" s="158">
        <f t="shared" si="11"/>
        <v>184466.36249999999</v>
      </c>
      <c r="AJ17" s="156">
        <f t="shared" si="11"/>
        <v>500694.41249999998</v>
      </c>
      <c r="AK17" s="61">
        <f t="shared" si="10"/>
        <v>0.64013615674146085</v>
      </c>
    </row>
    <row r="18" spans="2:37" ht="22.15" hidden="1" customHeight="1" outlineLevel="1" x14ac:dyDescent="0.25">
      <c r="B18" s="90" t="s">
        <v>56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62"/>
      <c r="AF18" s="55"/>
      <c r="AG18" s="55"/>
      <c r="AH18" s="55"/>
      <c r="AI18" s="55"/>
      <c r="AJ18" s="55"/>
    </row>
    <row r="19" spans="2:37" ht="22.15" hidden="1" customHeight="1" outlineLevel="1" x14ac:dyDescent="0.25">
      <c r="B19" s="64" t="s">
        <v>120</v>
      </c>
      <c r="C19" s="59">
        <f>SUMIFS(Formatting!$A$33:$A$37,Formatting!$E$33:$E$37,'Cash flow forecast'!C$5)</f>
        <v>1</v>
      </c>
      <c r="D19" s="59">
        <f>SUMIFS(Formatting!$A$33:$A$37,Formatting!$E$33:$E$37,'Cash flow forecast'!D$5)</f>
        <v>0</v>
      </c>
      <c r="E19" s="59">
        <f>SUMIFS(Formatting!$A$33:$A$37,Formatting!$E$33:$E$37,'Cash flow forecast'!E$5)</f>
        <v>1</v>
      </c>
      <c r="F19" s="59">
        <f>SUMIFS(Formatting!$A$33:$A$37,Formatting!$E$33:$E$37,'Cash flow forecast'!F$5)</f>
        <v>0</v>
      </c>
      <c r="G19" s="59">
        <f>SUMIFS(Formatting!$A$33:$A$37,Formatting!$E$33:$E$37,'Cash flow forecast'!G$5)</f>
        <v>0</v>
      </c>
      <c r="H19" s="59">
        <f>SUMIFS(Formatting!$A$33:$A$37,Formatting!$E$33:$E$37,'Cash flow forecast'!H$5)</f>
        <v>0</v>
      </c>
      <c r="I19" s="59">
        <f>SUMIFS(Formatting!$A$33:$A$37,Formatting!$E$33:$E$37,'Cash flow forecast'!I$5)</f>
        <v>0</v>
      </c>
      <c r="J19" s="59">
        <f>SUMIFS(Formatting!$A$33:$A$37,Formatting!$E$33:$E$37,'Cash flow forecast'!J$5)</f>
        <v>0</v>
      </c>
      <c r="K19" s="59">
        <f>SUMIFS(Formatting!$A$33:$A$37,Formatting!$E$33:$E$37,'Cash flow forecast'!K$5)</f>
        <v>0</v>
      </c>
      <c r="L19" s="59">
        <f>SUMIFS(Formatting!$A$33:$A$37,Formatting!$E$33:$E$37,'Cash flow forecast'!L$5)</f>
        <v>0</v>
      </c>
      <c r="M19" s="59">
        <f>SUMIFS(Formatting!$A$33:$A$37,Formatting!$E$33:$E$37,'Cash flow forecast'!M$5)</f>
        <v>0</v>
      </c>
      <c r="N19" s="59">
        <f>SUMIFS(Formatting!$A$33:$A$37,Formatting!$E$33:$E$37,'Cash flow forecast'!N$5)</f>
        <v>0</v>
      </c>
      <c r="O19" s="59">
        <f>SUMIFS(Formatting!$A$33:$A$37,Formatting!$E$33:$E$37,'Cash flow forecast'!O$5)</f>
        <v>0</v>
      </c>
      <c r="P19" s="59">
        <f>SUMIFS(Formatting!$A$33:$A$37,Formatting!$E$33:$E$37,'Cash flow forecast'!P$5)</f>
        <v>0</v>
      </c>
      <c r="Q19" s="59">
        <f>SUMIFS(Formatting!$A$33:$A$37,Formatting!$E$33:$E$37,'Cash flow forecast'!Q$5)</f>
        <v>0</v>
      </c>
      <c r="R19" s="59">
        <f>SUMIFS(Formatting!$A$33:$A$37,Formatting!$E$33:$E$37,'Cash flow forecast'!R$5)</f>
        <v>0</v>
      </c>
      <c r="S19" s="59">
        <f>SUMIFS(Formatting!$A$33:$A$37,Formatting!$E$33:$E$37,'Cash flow forecast'!S$5)</f>
        <v>0</v>
      </c>
      <c r="T19" s="59">
        <f>SUMIFS(Formatting!$A$33:$A$37,Formatting!$E$33:$E$37,'Cash flow forecast'!T$5)</f>
        <v>0</v>
      </c>
      <c r="U19" s="59">
        <f>SUMIFS(Formatting!$A$33:$A$37,Formatting!$E$33:$E$37,'Cash flow forecast'!U$5)</f>
        <v>0</v>
      </c>
      <c r="V19" s="59">
        <f>SUMIFS(Formatting!$A$33:$A$37,Formatting!$E$33:$E$37,'Cash flow forecast'!V$5)</f>
        <v>0</v>
      </c>
      <c r="W19" s="59">
        <f>SUMIFS(Formatting!$A$33:$A$37,Formatting!$E$33:$E$37,'Cash flow forecast'!W$5)</f>
        <v>0</v>
      </c>
      <c r="X19" s="59">
        <f>SUMIFS(Formatting!$A$33:$A$37,Formatting!$E$33:$E$37,'Cash flow forecast'!X$5)</f>
        <v>0</v>
      </c>
      <c r="Y19" s="59">
        <f>SUMIFS(Formatting!$A$33:$A$37,Formatting!$E$33:$E$37,'Cash flow forecast'!Y$5)</f>
        <v>0</v>
      </c>
      <c r="Z19" s="59">
        <f>SUMIFS(Formatting!$A$33:$A$37,Formatting!$E$33:$E$37,'Cash flow forecast'!Z$5)</f>
        <v>0</v>
      </c>
      <c r="AA19" s="99"/>
      <c r="AB19" s="99"/>
      <c r="AC19" s="99"/>
      <c r="AD19" s="99"/>
      <c r="AE19" s="99"/>
      <c r="AF19" s="99"/>
      <c r="AG19" s="99"/>
      <c r="AH19" s="99"/>
      <c r="AI19" s="99"/>
      <c r="AJ19" s="99"/>
    </row>
    <row r="20" spans="2:37" ht="22.15" hidden="1" customHeight="1" outlineLevel="1" x14ac:dyDescent="0.25">
      <c r="B20" s="64" t="s">
        <v>121</v>
      </c>
      <c r="C20" s="59">
        <f>IFERROR(INDEX(Formatting!$F$34:$T$34,MATCH('Cash flow forecast'!C$5,Formatting!$F$33:$T$33,0)),0)+IFERROR(INDEX(Formatting!$F$36:$T$36,MATCH('Cash flow forecast'!C$5,Formatting!$F$35:$T$35,0)),0)+IFERROR(INDEX(Formatting!$F$38:$T$38,MATCH('Cash flow forecast'!C$5,Formatting!$F$37:$T$37,0)),0)</f>
        <v>0</v>
      </c>
      <c r="D20" s="59">
        <f>IFERROR(INDEX(Formatting!$F$34:$T$34,MATCH('Cash flow forecast'!D$5,Formatting!$F$33:$T$33,0)),0)+IFERROR(INDEX(Formatting!$F$36:$T$36,MATCH('Cash flow forecast'!D$5,Formatting!$F$35:$T$35,0)),0)+IFERROR(INDEX(Formatting!$F$38:$T$38,MATCH('Cash flow forecast'!D$5,Formatting!$F$37:$T$37,0)),0)</f>
        <v>0</v>
      </c>
      <c r="E20" s="59">
        <f>IFERROR(INDEX(Formatting!$F$34:$T$34,MATCH('Cash flow forecast'!E$5,Formatting!$F$33:$T$33,0)),0)+IFERROR(INDEX(Formatting!$F$36:$T$36,MATCH('Cash flow forecast'!E$5,Formatting!$F$35:$T$35,0)),0)+IFERROR(INDEX(Formatting!$F$38:$T$38,MATCH('Cash flow forecast'!E$5,Formatting!$F$37:$T$37,0)),0)</f>
        <v>0</v>
      </c>
      <c r="F20" s="59">
        <f>IFERROR(INDEX(Formatting!$F$34:$T$34,MATCH('Cash flow forecast'!F$5,Formatting!$F$33:$T$33,0)),0)+IFERROR(INDEX(Formatting!$F$36:$T$36,MATCH('Cash flow forecast'!F$5,Formatting!$F$35:$T$35,0)),0)+IFERROR(INDEX(Formatting!$F$38:$T$38,MATCH('Cash flow forecast'!F$5,Formatting!$F$37:$T$37,0)),0)</f>
        <v>0</v>
      </c>
      <c r="G20" s="59">
        <f>IFERROR(INDEX(Formatting!$F$34:$T$34,MATCH('Cash flow forecast'!G$5,Formatting!$F$33:$T$33,0)),0)+IFERROR(INDEX(Formatting!$F$36:$T$36,MATCH('Cash flow forecast'!G$5,Formatting!$F$35:$T$35,0)),0)+IFERROR(INDEX(Formatting!$F$38:$T$38,MATCH('Cash flow forecast'!G$5,Formatting!$F$37:$T$37,0)),0)</f>
        <v>0</v>
      </c>
      <c r="H20" s="59">
        <f>IFERROR(INDEX(Formatting!$F$34:$T$34,MATCH('Cash flow forecast'!H$5,Formatting!$F$33:$T$33,0)),0)+IFERROR(INDEX(Formatting!$F$36:$T$36,MATCH('Cash flow forecast'!H$5,Formatting!$F$35:$T$35,0)),0)+IFERROR(INDEX(Formatting!$F$38:$T$38,MATCH('Cash flow forecast'!H$5,Formatting!$F$37:$T$37,0)),0)</f>
        <v>0</v>
      </c>
      <c r="I20" s="59">
        <f>IFERROR(INDEX(Formatting!$F$34:$T$34,MATCH('Cash flow forecast'!I$5,Formatting!$F$33:$T$33,0)),0)+IFERROR(INDEX(Formatting!$F$36:$T$36,MATCH('Cash flow forecast'!I$5,Formatting!$F$35:$T$35,0)),0)+IFERROR(INDEX(Formatting!$F$38:$T$38,MATCH('Cash flow forecast'!I$5,Formatting!$F$37:$T$37,0)),0)</f>
        <v>1</v>
      </c>
      <c r="J20" s="59">
        <f>IFERROR(INDEX(Formatting!$F$34:$T$34,MATCH('Cash flow forecast'!J$5,Formatting!$F$33:$T$33,0)),0)+IFERROR(INDEX(Formatting!$F$36:$T$36,MATCH('Cash flow forecast'!J$5,Formatting!$F$35:$T$35,0)),0)+IFERROR(INDEX(Formatting!$F$38:$T$38,MATCH('Cash flow forecast'!J$5,Formatting!$F$37:$T$37,0)),0)</f>
        <v>0</v>
      </c>
      <c r="K20" s="59">
        <f>IFERROR(INDEX(Formatting!$F$34:$T$34,MATCH('Cash flow forecast'!K$5,Formatting!$F$33:$T$33,0)),0)+IFERROR(INDEX(Formatting!$F$36:$T$36,MATCH('Cash flow forecast'!K$5,Formatting!$F$35:$T$35,0)),0)+IFERROR(INDEX(Formatting!$F$38:$T$38,MATCH('Cash flow forecast'!K$5,Formatting!$F$37:$T$37,0)),0)</f>
        <v>1</v>
      </c>
      <c r="L20" s="59">
        <f>IFERROR(INDEX(Formatting!$F$34:$T$34,MATCH('Cash flow forecast'!L$5,Formatting!$F$33:$T$33,0)),0)+IFERROR(INDEX(Formatting!$F$36:$T$36,MATCH('Cash flow forecast'!L$5,Formatting!$F$35:$T$35,0)),0)+IFERROR(INDEX(Formatting!$F$38:$T$38,MATCH('Cash flow forecast'!L$5,Formatting!$F$37:$T$37,0)),0)</f>
        <v>0</v>
      </c>
      <c r="M20" s="59">
        <f>IFERROR(INDEX(Formatting!$F$34:$T$34,MATCH('Cash flow forecast'!M$5,Formatting!$F$33:$T$33,0)),0)+IFERROR(INDEX(Formatting!$F$36:$T$36,MATCH('Cash flow forecast'!M$5,Formatting!$F$35:$T$35,0)),0)+IFERROR(INDEX(Formatting!$F$38:$T$38,MATCH('Cash flow forecast'!M$5,Formatting!$F$37:$T$37,0)),0)</f>
        <v>0</v>
      </c>
      <c r="N20" s="59">
        <f>IFERROR(INDEX(Formatting!$F$34:$T$34,MATCH('Cash flow forecast'!N$5,Formatting!$F$33:$T$33,0)),0)+IFERROR(INDEX(Formatting!$F$36:$T$36,MATCH('Cash flow forecast'!N$5,Formatting!$F$35:$T$35,0)),0)+IFERROR(INDEX(Formatting!$F$38:$T$38,MATCH('Cash flow forecast'!N$5,Formatting!$F$37:$T$37,0)),0)</f>
        <v>0</v>
      </c>
      <c r="O20" s="59">
        <f>IFERROR(INDEX(Formatting!$F$34:$T$34,MATCH('Cash flow forecast'!O$5,Formatting!$F$33:$T$33,0)),0)+IFERROR(INDEX(Formatting!$F$36:$T$36,MATCH('Cash flow forecast'!O$5,Formatting!$F$35:$T$35,0)),0)+IFERROR(INDEX(Formatting!$F$38:$T$38,MATCH('Cash flow forecast'!O$5,Formatting!$F$37:$T$37,0)),0)</f>
        <v>1</v>
      </c>
      <c r="P20" s="59">
        <f>IFERROR(INDEX(Formatting!$F$34:$T$34,MATCH('Cash flow forecast'!P$5,Formatting!$F$33:$T$33,0)),0)+IFERROR(INDEX(Formatting!$F$36:$T$36,MATCH('Cash flow forecast'!P$5,Formatting!$F$35:$T$35,0)),0)+IFERROR(INDEX(Formatting!$F$38:$T$38,MATCH('Cash flow forecast'!P$5,Formatting!$F$37:$T$37,0)),0)</f>
        <v>0</v>
      </c>
      <c r="Q20" s="59">
        <f>IFERROR(INDEX(Formatting!$F$34:$T$34,MATCH('Cash flow forecast'!Q$5,Formatting!$F$33:$T$33,0)),0)+IFERROR(INDEX(Formatting!$F$36:$T$36,MATCH('Cash flow forecast'!Q$5,Formatting!$F$35:$T$35,0)),0)+IFERROR(INDEX(Formatting!$F$38:$T$38,MATCH('Cash flow forecast'!Q$5,Formatting!$F$37:$T$37,0)),0)</f>
        <v>1</v>
      </c>
      <c r="R20" s="59">
        <f>IFERROR(INDEX(Formatting!$F$34:$T$34,MATCH('Cash flow forecast'!R$5,Formatting!$F$33:$T$33,0)),0)+IFERROR(INDEX(Formatting!$F$36:$T$36,MATCH('Cash flow forecast'!R$5,Formatting!$F$35:$T$35,0)),0)+IFERROR(INDEX(Formatting!$F$38:$T$38,MATCH('Cash flow forecast'!R$5,Formatting!$F$37:$T$37,0)),0)</f>
        <v>0</v>
      </c>
      <c r="S20" s="59">
        <f>IFERROR(INDEX(Formatting!$F$34:$T$34,MATCH('Cash flow forecast'!S$5,Formatting!$F$33:$T$33,0)),0)+IFERROR(INDEX(Formatting!$F$36:$T$36,MATCH('Cash flow forecast'!S$5,Formatting!$F$35:$T$35,0)),0)+IFERROR(INDEX(Formatting!$F$38:$T$38,MATCH('Cash flow forecast'!S$5,Formatting!$F$37:$T$37,0)),0)</f>
        <v>0</v>
      </c>
      <c r="T20" s="59">
        <f>IFERROR(INDEX(Formatting!$F$34:$T$34,MATCH('Cash flow forecast'!T$5,Formatting!$F$33:$T$33,0)),0)+IFERROR(INDEX(Formatting!$F$36:$T$36,MATCH('Cash flow forecast'!T$5,Formatting!$F$35:$T$35,0)),0)+IFERROR(INDEX(Formatting!$F$38:$T$38,MATCH('Cash flow forecast'!T$5,Formatting!$F$37:$T$37,0)),0)</f>
        <v>0</v>
      </c>
      <c r="U20" s="59">
        <f>IFERROR(INDEX(Formatting!$F$34:$T$34,MATCH('Cash flow forecast'!U$5,Formatting!$F$33:$T$33,0)),0)+IFERROR(INDEX(Formatting!$F$36:$T$36,MATCH('Cash flow forecast'!U$5,Formatting!$F$35:$T$35,0)),0)+IFERROR(INDEX(Formatting!$F$38:$T$38,MATCH('Cash flow forecast'!U$5,Formatting!$F$37:$T$37,0)),0)</f>
        <v>1</v>
      </c>
      <c r="V20" s="59">
        <f>IFERROR(INDEX(Formatting!$F$34:$T$34,MATCH('Cash flow forecast'!V$5,Formatting!$F$33:$T$33,0)),0)+IFERROR(INDEX(Formatting!$F$36:$T$36,MATCH('Cash flow forecast'!V$5,Formatting!$F$35:$T$35,0)),0)+IFERROR(INDEX(Formatting!$F$38:$T$38,MATCH('Cash flow forecast'!V$5,Formatting!$F$37:$T$37,0)),0)</f>
        <v>0</v>
      </c>
      <c r="W20" s="59">
        <f>IFERROR(INDEX(Formatting!$F$34:$T$34,MATCH('Cash flow forecast'!W$5,Formatting!$F$33:$T$33,0)),0)+IFERROR(INDEX(Formatting!$F$36:$T$36,MATCH('Cash flow forecast'!W$5,Formatting!$F$35:$T$35,0)),0)+IFERROR(INDEX(Formatting!$F$38:$T$38,MATCH('Cash flow forecast'!W$5,Formatting!$F$37:$T$37,0)),0)</f>
        <v>1</v>
      </c>
      <c r="X20" s="59">
        <f>IFERROR(INDEX(Formatting!$F$34:$T$34,MATCH('Cash flow forecast'!X$5,Formatting!$F$33:$T$33,0)),0)+IFERROR(INDEX(Formatting!$F$36:$T$36,MATCH('Cash flow forecast'!X$5,Formatting!$F$35:$T$35,0)),0)+IFERROR(INDEX(Formatting!$F$38:$T$38,MATCH('Cash flow forecast'!X$5,Formatting!$F$37:$T$37,0)),0)</f>
        <v>0</v>
      </c>
      <c r="Y20" s="59">
        <f>IFERROR(INDEX(Formatting!$F$34:$T$34,MATCH('Cash flow forecast'!Y$5,Formatting!$F$33:$T$33,0)),0)+IFERROR(INDEX(Formatting!$F$36:$T$36,MATCH('Cash flow forecast'!Y$5,Formatting!$F$35:$T$35,0)),0)+IFERROR(INDEX(Formatting!$F$38:$T$38,MATCH('Cash flow forecast'!Y$5,Formatting!$F$37:$T$37,0)),0)</f>
        <v>0</v>
      </c>
      <c r="Z20" s="59">
        <f>IFERROR(INDEX(Formatting!$F$34:$T$34,MATCH('Cash flow forecast'!Z$5,Formatting!$F$33:$T$33,0)),0)+IFERROR(INDEX(Formatting!$F$36:$T$36,MATCH('Cash flow forecast'!Z$5,Formatting!$F$35:$T$35,0)),0)+IFERROR(INDEX(Formatting!$F$38:$T$38,MATCH('Cash flow forecast'!Z$5,Formatting!$F$37:$T$37,0)),0)</f>
        <v>0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</row>
    <row r="21" spans="2:37" ht="22.15" hidden="1" customHeight="1" outlineLevel="1" x14ac:dyDescent="0.25">
      <c r="B21" s="91" t="s">
        <v>45</v>
      </c>
      <c r="C21" s="144">
        <f>((INDEX(Assumptions!$B$8:$B$46,MATCH("Total Twin",Assumptions!$A$8:$A$46,0)))*((C$19+C$20)*INDEX(Assumptions!$E$78:$E$83,MATCH('Cash flow forecast'!$B21,Assumptions!$A$78:$A$83,0))))</f>
        <v>2055.375</v>
      </c>
      <c r="D21" s="145">
        <f>(((INDEX(Assumptions!$B$8:$B$46,MATCH("Total Twin",Assumptions!$A$8:$A$46,0)))*((D$19+D$20)*INDEX(Assumptions!$E$78:$E$83,MATCH('Cash flow forecast'!$B21,Assumptions!$A$78:$A$83,0)))))*(1+Assumptions!$B$85)</f>
        <v>0</v>
      </c>
      <c r="E21" s="145">
        <f>(((INDEX(Assumptions!$B$8:$B$46,MATCH("Total Twin",Assumptions!$A$8:$A$46,0)))*((E$19+E$20)*INDEX(Assumptions!$E$78:$E$83,MATCH('Cash flow forecast'!$B21,Assumptions!$A$78:$A$83,0)))))*(1+Assumptions!$B$85)</f>
        <v>1849.8375000000001</v>
      </c>
      <c r="F21" s="145">
        <f>(((INDEX(Assumptions!$B$8:$B$46,MATCH("Total Twin",Assumptions!$A$8:$A$46,0)))*((F$19+F$20)*INDEX(Assumptions!$E$78:$E$83,MATCH('Cash flow forecast'!$B21,Assumptions!$A$78:$A$83,0)))))*(1+Assumptions!$B$85)</f>
        <v>0</v>
      </c>
      <c r="G21" s="145">
        <f>(((INDEX(Assumptions!$B$8:$B$46,MATCH("Total Twin",Assumptions!$A$8:$A$46,0)))*((G$19+G$20)*INDEX(Assumptions!$E$78:$E$83,MATCH('Cash flow forecast'!$B21,Assumptions!$A$78:$A$83,0)))))*(1+Assumptions!$B$85)</f>
        <v>0</v>
      </c>
      <c r="H21" s="145">
        <f>(((INDEX(Assumptions!$B$8:$B$46,MATCH("Total Twin",Assumptions!$A$8:$A$46,0)))*((H$19+H$20)*INDEX(Assumptions!$E$78:$E$83,MATCH('Cash flow forecast'!$B21,Assumptions!$A$78:$A$83,0)))))*(1+Assumptions!$B$85)</f>
        <v>0</v>
      </c>
      <c r="I21" s="145">
        <f>(((INDEX(Assumptions!$B$8:$B$46,MATCH("Total Twin",Assumptions!$A$8:$A$46,0)))*((I$19+I$20)*INDEX(Assumptions!$E$78:$E$83,MATCH('Cash flow forecast'!$B21,Assumptions!$A$78:$A$83,0)))))*(1+Assumptions!$B$85)</f>
        <v>1849.8375000000001</v>
      </c>
      <c r="J21" s="145">
        <f>(((INDEX(Assumptions!$B$8:$B$46,MATCH("Total Twin",Assumptions!$A$8:$A$46,0)))*((J$19+J$20)*INDEX(Assumptions!$E$78:$E$83,MATCH('Cash flow forecast'!$B21,Assumptions!$A$78:$A$83,0)))))*(1+Assumptions!$B$85)</f>
        <v>0</v>
      </c>
      <c r="K21" s="145">
        <f>(((INDEX(Assumptions!$B$8:$B$46,MATCH("Total Twin",Assumptions!$A$8:$A$46,0)))*((K$19+K$20)*INDEX(Assumptions!$E$78:$E$83,MATCH('Cash flow forecast'!$B21,Assumptions!$A$78:$A$83,0)))))*(1+Assumptions!$B$85)</f>
        <v>1849.8375000000001</v>
      </c>
      <c r="L21" s="145">
        <f>(((INDEX(Assumptions!$B$8:$B$46,MATCH("Total Twin",Assumptions!$A$8:$A$46,0)))*((L$19+L$20)*INDEX(Assumptions!$E$78:$E$83,MATCH('Cash flow forecast'!$B21,Assumptions!$A$78:$A$83,0)))))*(1+Assumptions!$B$85)</f>
        <v>0</v>
      </c>
      <c r="M21" s="145">
        <f>(((INDEX(Assumptions!$B$8:$B$46,MATCH("Total Twin",Assumptions!$A$8:$A$46,0)))*((M$19+M$20)*INDEX(Assumptions!$E$78:$E$83,MATCH('Cash flow forecast'!$B21,Assumptions!$A$78:$A$83,0)))))*(1+Assumptions!$B$85)</f>
        <v>0</v>
      </c>
      <c r="N21" s="146">
        <f>(((INDEX(Assumptions!$B$8:$B$46,MATCH("Total Twin",Assumptions!$A$8:$A$46,0)))*((N$19+N$20)*INDEX(Assumptions!$E$78:$E$83,MATCH('Cash flow forecast'!$B21,Assumptions!$A$78:$A$83,0)))))*(1+Assumptions!$B$85)</f>
        <v>0</v>
      </c>
      <c r="O21" s="147">
        <f>(((INDEX(Assumptions!$B$8:$B$46,MATCH("Total Twin",Assumptions!$A$8:$A$46,0)))*((O$19+O$20)*INDEX(Assumptions!$E$78:$E$83,MATCH('Cash flow forecast'!$B21,Assumptions!$A$78:$A$83,0)))))*(1+Assumptions!$B$85)</f>
        <v>1849.8375000000001</v>
      </c>
      <c r="P21" s="145">
        <f>(((INDEX(Assumptions!$B$8:$B$46,MATCH("Total Twin",Assumptions!$A$8:$A$46,0)))*((P$19+P$20)*INDEX(Assumptions!$E$78:$E$83,MATCH('Cash flow forecast'!$B21,Assumptions!$A$78:$A$83,0)))))*(1+Assumptions!$B$85)</f>
        <v>0</v>
      </c>
      <c r="Q21" s="145">
        <f>(((INDEX(Assumptions!$B$8:$B$46,MATCH("Total Twin",Assumptions!$A$8:$A$46,0)))*((Q$19+Q$20)*INDEX(Assumptions!$E$78:$E$83,MATCH('Cash flow forecast'!$B21,Assumptions!$A$78:$A$83,0)))))*(1+Assumptions!$B$85)</f>
        <v>1849.8375000000001</v>
      </c>
      <c r="R21" s="145">
        <f>(((INDEX(Assumptions!$B$8:$B$46,MATCH("Total Twin",Assumptions!$A$8:$A$46,0)))*((R$19+R$20)*INDEX(Assumptions!$E$78:$E$83,MATCH('Cash flow forecast'!$B21,Assumptions!$A$78:$A$83,0)))))*(1+Assumptions!$B$85)</f>
        <v>0</v>
      </c>
      <c r="S21" s="145">
        <f>(((INDEX(Assumptions!$B$8:$B$46,MATCH("Total Twin",Assumptions!$A$8:$A$46,0)))*((S$19+S$20)*INDEX(Assumptions!$E$78:$E$83,MATCH('Cash flow forecast'!$B21,Assumptions!$A$78:$A$83,0)))))*(1+Assumptions!$B$85)</f>
        <v>0</v>
      </c>
      <c r="T21" s="145">
        <f>(((INDEX(Assumptions!$B$8:$B$46,MATCH("Total Twin",Assumptions!$A$8:$A$46,0)))*((T$19+T$20)*INDEX(Assumptions!$E$78:$E$83,MATCH('Cash flow forecast'!$B21,Assumptions!$A$78:$A$83,0)))))*(1+Assumptions!$B$85)</f>
        <v>0</v>
      </c>
      <c r="U21" s="145">
        <f>(((INDEX(Assumptions!$B$8:$B$46,MATCH("Total Twin",Assumptions!$A$8:$A$46,0)))*((U$19+U$20)*INDEX(Assumptions!$E$78:$E$83,MATCH('Cash flow forecast'!$B21,Assumptions!$A$78:$A$83,0)))))*(1+Assumptions!$B$85)</f>
        <v>1849.8375000000001</v>
      </c>
      <c r="V21" s="145">
        <f>(((INDEX(Assumptions!$B$8:$B$46,MATCH("Total Twin",Assumptions!$A$8:$A$46,0)))*((V$19+V$20)*INDEX(Assumptions!$E$78:$E$83,MATCH('Cash flow forecast'!$B21,Assumptions!$A$78:$A$83,0)))))*(1+Assumptions!$B$85)</f>
        <v>0</v>
      </c>
      <c r="W21" s="145">
        <f>(((INDEX(Assumptions!$B$8:$B$46,MATCH("Total Twin",Assumptions!$A$8:$A$46,0)))*((W$19+W$20)*INDEX(Assumptions!$E$78:$E$83,MATCH('Cash flow forecast'!$B21,Assumptions!$A$78:$A$83,0)))))*(1+Assumptions!$B$85)</f>
        <v>1849.8375000000001</v>
      </c>
      <c r="X21" s="145">
        <f>(((INDEX(Assumptions!$B$8:$B$46,MATCH("Total Twin",Assumptions!$A$8:$A$46,0)))*((X$19+X$20)*INDEX(Assumptions!$E$78:$E$83,MATCH('Cash flow forecast'!$B21,Assumptions!$A$78:$A$83,0)))))*(1+Assumptions!$B$85)</f>
        <v>0</v>
      </c>
      <c r="Y21" s="145">
        <f>(((INDEX(Assumptions!$B$8:$B$46,MATCH("Total Twin",Assumptions!$A$8:$A$46,0)))*((Y$19+Y$20)*INDEX(Assumptions!$E$78:$E$83,MATCH('Cash flow forecast'!$B21,Assumptions!$A$78:$A$83,0)))))*(1+Assumptions!$B$85)</f>
        <v>0</v>
      </c>
      <c r="Z21" s="146">
        <f>(((INDEX(Assumptions!$B$8:$B$46,MATCH("Total Twin",Assumptions!$A$8:$A$46,0)))*((Z$19+Z$20)*INDEX(Assumptions!$E$78:$E$83,MATCH('Cash flow forecast'!$B21,Assumptions!$A$78:$A$83,0)))))*(1+Assumptions!$B$85)</f>
        <v>0</v>
      </c>
      <c r="AA21" s="144">
        <f t="shared" ref="AA21:AD21" si="12">SUMIFS($C21:$N21,$C$6:$N$6,AA$5)</f>
        <v>2055.375</v>
      </c>
      <c r="AB21" s="145">
        <f t="shared" si="12"/>
        <v>1849.8375000000001</v>
      </c>
      <c r="AC21" s="145">
        <f t="shared" si="12"/>
        <v>1849.8375000000001</v>
      </c>
      <c r="AD21" s="146">
        <f t="shared" si="12"/>
        <v>1849.8375000000001</v>
      </c>
      <c r="AE21" s="148">
        <f t="shared" si="6"/>
        <v>7604.8875000000007</v>
      </c>
      <c r="AF21" s="144">
        <f>SUMIFS($O21:$Z21,$O$6:$Z$6,AF$5)</f>
        <v>1849.8375000000001</v>
      </c>
      <c r="AG21" s="145">
        <f t="shared" ref="AG21:AI21" si="13">SUMIFS($O21:$Z21,$O$6:$Z$6,AG$5)</f>
        <v>1849.8375000000001</v>
      </c>
      <c r="AH21" s="145">
        <f t="shared" si="13"/>
        <v>1849.8375000000001</v>
      </c>
      <c r="AI21" s="146">
        <f t="shared" si="13"/>
        <v>1849.8375000000001</v>
      </c>
      <c r="AJ21" s="149">
        <f>SUM($O21:$Z21)</f>
        <v>7399.35</v>
      </c>
      <c r="AK21" s="92">
        <f>AVERAGE(AE21,AJ21)/AVERAGE($AE$58,$AJ$58)</f>
        <v>1.0861822727743678E-2</v>
      </c>
    </row>
    <row r="22" spans="2:37" ht="22.15" hidden="1" customHeight="1" outlineLevel="1" x14ac:dyDescent="0.25">
      <c r="B22" s="91" t="s">
        <v>46</v>
      </c>
      <c r="C22" s="150">
        <f>((INDEX(Assumptions!$B$8:$B$46,MATCH("Total Full",Assumptions!$A$8:$A$46,0)))*((C$19+C$20)*INDEX(Assumptions!$E$78:$E$83,MATCH('Cash flow forecast'!$B22,Assumptions!$A$78:$A$83,0))))</f>
        <v>0</v>
      </c>
      <c r="D22" s="151">
        <f>(((INDEX(Assumptions!$B$8:$B$46,MATCH("Total Full",Assumptions!$A$8:$A$46,0)))*((D$19+D$20)*INDEX(Assumptions!$E$78:$E$83,MATCH('Cash flow forecast'!$B22,Assumptions!$A$78:$A$83,0)))))*(1+Assumptions!$B$85)</f>
        <v>0</v>
      </c>
      <c r="E22" s="151">
        <f>(((INDEX(Assumptions!$B$8:$B$46,MATCH("Total Full",Assumptions!$A$8:$A$46,0)))*((E$19+E$20)*INDEX(Assumptions!$E$78:$E$83,MATCH('Cash flow forecast'!$B22,Assumptions!$A$78:$A$83,0)))))*(1+Assumptions!$B$85)</f>
        <v>0</v>
      </c>
      <c r="F22" s="151">
        <f>(((INDEX(Assumptions!$B$8:$B$46,MATCH("Total Full",Assumptions!$A$8:$A$46,0)))*((F$19+F$20)*INDEX(Assumptions!$E$78:$E$83,MATCH('Cash flow forecast'!$B22,Assumptions!$A$78:$A$83,0)))))*(1+Assumptions!$B$85)</f>
        <v>0</v>
      </c>
      <c r="G22" s="151">
        <f>(((INDEX(Assumptions!$B$8:$B$46,MATCH("Total Full",Assumptions!$A$8:$A$46,0)))*((G$19+G$20)*INDEX(Assumptions!$E$78:$E$83,MATCH('Cash flow forecast'!$B22,Assumptions!$A$78:$A$83,0)))))*(1+Assumptions!$B$85)</f>
        <v>0</v>
      </c>
      <c r="H22" s="151">
        <f>(((INDEX(Assumptions!$B$8:$B$46,MATCH("Total Full",Assumptions!$A$8:$A$46,0)))*((H$19+H$20)*INDEX(Assumptions!$E$78:$E$83,MATCH('Cash flow forecast'!$B22,Assumptions!$A$78:$A$83,0)))))*(1+Assumptions!$B$85)</f>
        <v>0</v>
      </c>
      <c r="I22" s="151">
        <f>(((INDEX(Assumptions!$B$8:$B$46,MATCH("Total Full",Assumptions!$A$8:$A$46,0)))*((I$19+I$20)*INDEX(Assumptions!$E$78:$E$83,MATCH('Cash flow forecast'!$B22,Assumptions!$A$78:$A$83,0)))))*(1+Assumptions!$B$85)</f>
        <v>0</v>
      </c>
      <c r="J22" s="151">
        <f>(((INDEX(Assumptions!$B$8:$B$46,MATCH("Total Full",Assumptions!$A$8:$A$46,0)))*((J$19+J$20)*INDEX(Assumptions!$E$78:$E$83,MATCH('Cash flow forecast'!$B22,Assumptions!$A$78:$A$83,0)))))*(1+Assumptions!$B$85)</f>
        <v>0</v>
      </c>
      <c r="K22" s="151">
        <f>(((INDEX(Assumptions!$B$8:$B$46,MATCH("Total Full",Assumptions!$A$8:$A$46,0)))*((K$19+K$20)*INDEX(Assumptions!$E$78:$E$83,MATCH('Cash flow forecast'!$B22,Assumptions!$A$78:$A$83,0)))))*(1+Assumptions!$B$85)</f>
        <v>0</v>
      </c>
      <c r="L22" s="151">
        <f>(((INDEX(Assumptions!$B$8:$B$46,MATCH("Total Full",Assumptions!$A$8:$A$46,0)))*((L$19+L$20)*INDEX(Assumptions!$E$78:$E$83,MATCH('Cash flow forecast'!$B22,Assumptions!$A$78:$A$83,0)))))*(1+Assumptions!$B$85)</f>
        <v>0</v>
      </c>
      <c r="M22" s="151">
        <f>(((INDEX(Assumptions!$B$8:$B$46,MATCH("Total Full",Assumptions!$A$8:$A$46,0)))*((M$19+M$20)*INDEX(Assumptions!$E$78:$E$83,MATCH('Cash flow forecast'!$B22,Assumptions!$A$78:$A$83,0)))))*(1+Assumptions!$B$85)</f>
        <v>0</v>
      </c>
      <c r="N22" s="160">
        <f>(((INDEX(Assumptions!$B$8:$B$46,MATCH("Total Full",Assumptions!$A$8:$A$46,0)))*((N$19+N$20)*INDEX(Assumptions!$E$78:$E$83,MATCH('Cash flow forecast'!$B22,Assumptions!$A$78:$A$83,0)))))*(1+Assumptions!$B$85)</f>
        <v>0</v>
      </c>
      <c r="O22" s="150">
        <f>(((INDEX(Assumptions!$B$8:$B$46,MATCH("Total Full",Assumptions!$A$8:$A$46,0)))*((O$19+O$20)*INDEX(Assumptions!$E$78:$E$83,MATCH('Cash flow forecast'!$B22,Assumptions!$A$78:$A$83,0)))))*(1+Assumptions!$B$85)</f>
        <v>0</v>
      </c>
      <c r="P22" s="151">
        <f>(((INDEX(Assumptions!$B$8:$B$46,MATCH("Total Full",Assumptions!$A$8:$A$46,0)))*((P$19+P$20)*INDEX(Assumptions!$E$78:$E$83,MATCH('Cash flow forecast'!$B22,Assumptions!$A$78:$A$83,0)))))*(1+Assumptions!$B$85)</f>
        <v>0</v>
      </c>
      <c r="Q22" s="151">
        <f>(((INDEX(Assumptions!$B$8:$B$46,MATCH("Total Full",Assumptions!$A$8:$A$46,0)))*((Q$19+Q$20)*INDEX(Assumptions!$E$78:$E$83,MATCH('Cash flow forecast'!$B22,Assumptions!$A$78:$A$83,0)))))*(1+Assumptions!$B$85)</f>
        <v>0</v>
      </c>
      <c r="R22" s="151">
        <f>(((INDEX(Assumptions!$B$8:$B$46,MATCH("Total Full",Assumptions!$A$8:$A$46,0)))*((R$19+R$20)*INDEX(Assumptions!$E$78:$E$83,MATCH('Cash flow forecast'!$B22,Assumptions!$A$78:$A$83,0)))))*(1+Assumptions!$B$85)</f>
        <v>0</v>
      </c>
      <c r="S22" s="151">
        <f>(((INDEX(Assumptions!$B$8:$B$46,MATCH("Total Full",Assumptions!$A$8:$A$46,0)))*((S$19+S$20)*INDEX(Assumptions!$E$78:$E$83,MATCH('Cash flow forecast'!$B22,Assumptions!$A$78:$A$83,0)))))*(1+Assumptions!$B$85)</f>
        <v>0</v>
      </c>
      <c r="T22" s="151">
        <f>(((INDEX(Assumptions!$B$8:$B$46,MATCH("Total Full",Assumptions!$A$8:$A$46,0)))*((T$19+T$20)*INDEX(Assumptions!$E$78:$E$83,MATCH('Cash flow forecast'!$B22,Assumptions!$A$78:$A$83,0)))))*(1+Assumptions!$B$85)</f>
        <v>0</v>
      </c>
      <c r="U22" s="151">
        <f>(((INDEX(Assumptions!$B$8:$B$46,MATCH("Total Full",Assumptions!$A$8:$A$46,0)))*((U$19+U$20)*INDEX(Assumptions!$E$78:$E$83,MATCH('Cash flow forecast'!$B22,Assumptions!$A$78:$A$83,0)))))*(1+Assumptions!$B$85)</f>
        <v>0</v>
      </c>
      <c r="V22" s="151">
        <f>(((INDEX(Assumptions!$B$8:$B$46,MATCH("Total Full",Assumptions!$A$8:$A$46,0)))*((V$19+V$20)*INDEX(Assumptions!$E$78:$E$83,MATCH('Cash flow forecast'!$B22,Assumptions!$A$78:$A$83,0)))))*(1+Assumptions!$B$85)</f>
        <v>0</v>
      </c>
      <c r="W22" s="151">
        <f>(((INDEX(Assumptions!$B$8:$B$46,MATCH("Total Full",Assumptions!$A$8:$A$46,0)))*((W$19+W$20)*INDEX(Assumptions!$E$78:$E$83,MATCH('Cash flow forecast'!$B22,Assumptions!$A$78:$A$83,0)))))*(1+Assumptions!$B$85)</f>
        <v>0</v>
      </c>
      <c r="X22" s="151">
        <f>(((INDEX(Assumptions!$B$8:$B$46,MATCH("Total Full",Assumptions!$A$8:$A$46,0)))*((X$19+X$20)*INDEX(Assumptions!$E$78:$E$83,MATCH('Cash flow forecast'!$B22,Assumptions!$A$78:$A$83,0)))))*(1+Assumptions!$B$85)</f>
        <v>0</v>
      </c>
      <c r="Y22" s="151">
        <f>(((INDEX(Assumptions!$B$8:$B$46,MATCH("Total Full",Assumptions!$A$8:$A$46,0)))*((Y$19+Y$20)*INDEX(Assumptions!$E$78:$E$83,MATCH('Cash flow forecast'!$B22,Assumptions!$A$78:$A$83,0)))))*(1+Assumptions!$B$85)</f>
        <v>0</v>
      </c>
      <c r="Z22" s="152">
        <f>(((INDEX(Assumptions!$B$8:$B$46,MATCH("Total Full",Assumptions!$A$8:$A$46,0)))*((Z$19+Z$20)*INDEX(Assumptions!$E$78:$E$83,MATCH('Cash flow forecast'!$B22,Assumptions!$A$78:$A$83,0)))))*(1+Assumptions!$B$85)</f>
        <v>0</v>
      </c>
      <c r="AA22" s="150">
        <f t="shared" ref="AA22:AD25" si="14">SUMIFS($C22:$N22,$C$6:$N$6,AA$5)</f>
        <v>0</v>
      </c>
      <c r="AB22" s="151">
        <f t="shared" si="14"/>
        <v>0</v>
      </c>
      <c r="AC22" s="151">
        <f t="shared" si="14"/>
        <v>0</v>
      </c>
      <c r="AD22" s="152">
        <f t="shared" si="14"/>
        <v>0</v>
      </c>
      <c r="AE22" s="154">
        <f t="shared" si="6"/>
        <v>0</v>
      </c>
      <c r="AF22" s="150">
        <f t="shared" ref="AF22:AF25" si="15">SUMIFS($O22:$Z22,$O$6:$Z$6,AF$5)</f>
        <v>0</v>
      </c>
      <c r="AG22" s="151">
        <f t="shared" ref="AG22:AI25" si="16">SUMIFS($O22:$Z22,$O$6:$Z$6,AG$5)</f>
        <v>0</v>
      </c>
      <c r="AH22" s="151">
        <f t="shared" si="16"/>
        <v>0</v>
      </c>
      <c r="AI22" s="152">
        <f t="shared" si="16"/>
        <v>0</v>
      </c>
      <c r="AJ22" s="155">
        <f t="shared" ref="AJ22:AJ26" si="17">SUM($O22:$Z22)</f>
        <v>0</v>
      </c>
      <c r="AK22" s="60">
        <f t="shared" ref="AK22:AK26" si="18">AVERAGE(AE22,AJ22)/AVERAGE($AE$58,$AJ$58)</f>
        <v>0</v>
      </c>
    </row>
    <row r="23" spans="2:37" ht="22.15" hidden="1" customHeight="1" outlineLevel="1" x14ac:dyDescent="0.25">
      <c r="B23" s="91" t="s">
        <v>47</v>
      </c>
      <c r="C23" s="150">
        <f>((INDEX(Assumptions!$B$8:$B$46,MATCH("Total Queen",Assumptions!$A$8:$A$46,0)))*((C$19+C$20)*INDEX(Assumptions!$E$78:$E$83,MATCH('Cash flow forecast'!$B23,Assumptions!$A$78:$A$83,0))))</f>
        <v>23400</v>
      </c>
      <c r="D23" s="151">
        <f>(((INDEX(Assumptions!$B$8:$B$46,MATCH("Total Queen",Assumptions!$A$8:$A$46,0)))*((D$19+D$20)*INDEX(Assumptions!$E$78:$E$83,MATCH('Cash flow forecast'!$B23,Assumptions!$A$78:$A$83,0)))))*(1+Assumptions!$B$85)</f>
        <v>0</v>
      </c>
      <c r="E23" s="151">
        <f>(((INDEX(Assumptions!$B$8:$B$46,MATCH("Total Queen",Assumptions!$A$8:$A$46,0)))*((E$19+E$20)*INDEX(Assumptions!$E$78:$E$83,MATCH('Cash flow forecast'!$B23,Assumptions!$A$78:$A$83,0)))))*(1+Assumptions!$B$85)</f>
        <v>21060</v>
      </c>
      <c r="F23" s="151">
        <f>(((INDEX(Assumptions!$B$8:$B$46,MATCH("Total Queen",Assumptions!$A$8:$A$46,0)))*((F$19+F$20)*INDEX(Assumptions!$E$78:$E$83,MATCH('Cash flow forecast'!$B23,Assumptions!$A$78:$A$83,0)))))*(1+Assumptions!$B$85)</f>
        <v>0</v>
      </c>
      <c r="G23" s="151">
        <f>(((INDEX(Assumptions!$B$8:$B$46,MATCH("Total Queen",Assumptions!$A$8:$A$46,0)))*((G$19+G$20)*INDEX(Assumptions!$E$78:$E$83,MATCH('Cash flow forecast'!$B23,Assumptions!$A$78:$A$83,0)))))*(1+Assumptions!$B$85)</f>
        <v>0</v>
      </c>
      <c r="H23" s="151">
        <f>(((INDEX(Assumptions!$B$8:$B$46,MATCH("Total Queen",Assumptions!$A$8:$A$46,0)))*((H$19+H$20)*INDEX(Assumptions!$E$78:$E$83,MATCH('Cash flow forecast'!$B23,Assumptions!$A$78:$A$83,0)))))*(1+Assumptions!$B$85)</f>
        <v>0</v>
      </c>
      <c r="I23" s="151">
        <f>(((INDEX(Assumptions!$B$8:$B$46,MATCH("Total Queen",Assumptions!$A$8:$A$46,0)))*((I$19+I$20)*INDEX(Assumptions!$E$78:$E$83,MATCH('Cash flow forecast'!$B23,Assumptions!$A$78:$A$83,0)))))*(1+Assumptions!$B$85)</f>
        <v>21060</v>
      </c>
      <c r="J23" s="151">
        <f>(((INDEX(Assumptions!$B$8:$B$46,MATCH("Total Queen",Assumptions!$A$8:$A$46,0)))*((J$19+J$20)*INDEX(Assumptions!$E$78:$E$83,MATCH('Cash flow forecast'!$B23,Assumptions!$A$78:$A$83,0)))))*(1+Assumptions!$B$85)</f>
        <v>0</v>
      </c>
      <c r="K23" s="151">
        <f>(((INDEX(Assumptions!$B$8:$B$46,MATCH("Total Queen",Assumptions!$A$8:$A$46,0)))*((K$19+K$20)*INDEX(Assumptions!$E$78:$E$83,MATCH('Cash flow forecast'!$B23,Assumptions!$A$78:$A$83,0)))))*(1+Assumptions!$B$85)</f>
        <v>21060</v>
      </c>
      <c r="L23" s="151">
        <f>(((INDEX(Assumptions!$B$8:$B$46,MATCH("Total Queen",Assumptions!$A$8:$A$46,0)))*((L$19+L$20)*INDEX(Assumptions!$E$78:$E$83,MATCH('Cash flow forecast'!$B23,Assumptions!$A$78:$A$83,0)))))*(1+Assumptions!$B$85)</f>
        <v>0</v>
      </c>
      <c r="M23" s="151">
        <f>(((INDEX(Assumptions!$B$8:$B$46,MATCH("Total Queen",Assumptions!$A$8:$A$46,0)))*((M$19+M$20)*INDEX(Assumptions!$E$78:$E$83,MATCH('Cash flow forecast'!$B23,Assumptions!$A$78:$A$83,0)))))*(1+Assumptions!$B$85)</f>
        <v>0</v>
      </c>
      <c r="N23" s="160">
        <f>(((INDEX(Assumptions!$B$8:$B$46,MATCH("Total Queen",Assumptions!$A$8:$A$46,0)))*((N$19+N$20)*INDEX(Assumptions!$E$78:$E$83,MATCH('Cash flow forecast'!$B23,Assumptions!$A$78:$A$83,0)))))*(1+Assumptions!$B$85)</f>
        <v>0</v>
      </c>
      <c r="O23" s="150">
        <f>(((INDEX(Assumptions!$B$8:$B$46,MATCH("Total Queen",Assumptions!$A$8:$A$46,0)))*((O$19+O$20)*INDEX(Assumptions!$E$78:$E$83,MATCH('Cash flow forecast'!$B23,Assumptions!$A$78:$A$83,0)))))*(1+Assumptions!$B$85)</f>
        <v>21060</v>
      </c>
      <c r="P23" s="151">
        <f>(((INDEX(Assumptions!$B$8:$B$46,MATCH("Total Queen",Assumptions!$A$8:$A$46,0)))*((P$19+P$20)*INDEX(Assumptions!$E$78:$E$83,MATCH('Cash flow forecast'!$B23,Assumptions!$A$78:$A$83,0)))))*(1+Assumptions!$B$85)</f>
        <v>0</v>
      </c>
      <c r="Q23" s="151">
        <f>(((INDEX(Assumptions!$B$8:$B$46,MATCH("Total Queen",Assumptions!$A$8:$A$46,0)))*((Q$19+Q$20)*INDEX(Assumptions!$E$78:$E$83,MATCH('Cash flow forecast'!$B23,Assumptions!$A$78:$A$83,0)))))*(1+Assumptions!$B$85)</f>
        <v>21060</v>
      </c>
      <c r="R23" s="151">
        <f>(((INDEX(Assumptions!$B$8:$B$46,MATCH("Total Queen",Assumptions!$A$8:$A$46,0)))*((R$19+R$20)*INDEX(Assumptions!$E$78:$E$83,MATCH('Cash flow forecast'!$B23,Assumptions!$A$78:$A$83,0)))))*(1+Assumptions!$B$85)</f>
        <v>0</v>
      </c>
      <c r="S23" s="151">
        <f>(((INDEX(Assumptions!$B$8:$B$46,MATCH("Total Queen",Assumptions!$A$8:$A$46,0)))*((S$19+S$20)*INDEX(Assumptions!$E$78:$E$83,MATCH('Cash flow forecast'!$B23,Assumptions!$A$78:$A$83,0)))))*(1+Assumptions!$B$85)</f>
        <v>0</v>
      </c>
      <c r="T23" s="151">
        <f>(((INDEX(Assumptions!$B$8:$B$46,MATCH("Total Queen",Assumptions!$A$8:$A$46,0)))*((T$19+T$20)*INDEX(Assumptions!$E$78:$E$83,MATCH('Cash flow forecast'!$B23,Assumptions!$A$78:$A$83,0)))))*(1+Assumptions!$B$85)</f>
        <v>0</v>
      </c>
      <c r="U23" s="151">
        <f>(((INDEX(Assumptions!$B$8:$B$46,MATCH("Total Queen",Assumptions!$A$8:$A$46,0)))*((U$19+U$20)*INDEX(Assumptions!$E$78:$E$83,MATCH('Cash flow forecast'!$B23,Assumptions!$A$78:$A$83,0)))))*(1+Assumptions!$B$85)</f>
        <v>21060</v>
      </c>
      <c r="V23" s="151">
        <f>(((INDEX(Assumptions!$B$8:$B$46,MATCH("Total Queen",Assumptions!$A$8:$A$46,0)))*((V$19+V$20)*INDEX(Assumptions!$E$78:$E$83,MATCH('Cash flow forecast'!$B23,Assumptions!$A$78:$A$83,0)))))*(1+Assumptions!$B$85)</f>
        <v>0</v>
      </c>
      <c r="W23" s="151">
        <f>(((INDEX(Assumptions!$B$8:$B$46,MATCH("Total Queen",Assumptions!$A$8:$A$46,0)))*((W$19+W$20)*INDEX(Assumptions!$E$78:$E$83,MATCH('Cash flow forecast'!$B23,Assumptions!$A$78:$A$83,0)))))*(1+Assumptions!$B$85)</f>
        <v>21060</v>
      </c>
      <c r="X23" s="151">
        <f>(((INDEX(Assumptions!$B$8:$B$46,MATCH("Total Queen",Assumptions!$A$8:$A$46,0)))*((X$19+X$20)*INDEX(Assumptions!$E$78:$E$83,MATCH('Cash flow forecast'!$B23,Assumptions!$A$78:$A$83,0)))))*(1+Assumptions!$B$85)</f>
        <v>0</v>
      </c>
      <c r="Y23" s="151">
        <f>(((INDEX(Assumptions!$B$8:$B$46,MATCH("Total Queen",Assumptions!$A$8:$A$46,0)))*((Y$19+Y$20)*INDEX(Assumptions!$E$78:$E$83,MATCH('Cash flow forecast'!$B23,Assumptions!$A$78:$A$83,0)))))*(1+Assumptions!$B$85)</f>
        <v>0</v>
      </c>
      <c r="Z23" s="152">
        <f>(((INDEX(Assumptions!$B$8:$B$46,MATCH("Total Queen",Assumptions!$A$8:$A$46,0)))*((Z$19+Z$20)*INDEX(Assumptions!$E$78:$E$83,MATCH('Cash flow forecast'!$B23,Assumptions!$A$78:$A$83,0)))))*(1+Assumptions!$B$85)</f>
        <v>0</v>
      </c>
      <c r="AA23" s="150">
        <f t="shared" si="14"/>
        <v>23400</v>
      </c>
      <c r="AB23" s="151">
        <f t="shared" si="14"/>
        <v>21060</v>
      </c>
      <c r="AC23" s="151">
        <f t="shared" si="14"/>
        <v>21060</v>
      </c>
      <c r="AD23" s="152">
        <f t="shared" si="14"/>
        <v>21060</v>
      </c>
      <c r="AE23" s="154">
        <f t="shared" si="6"/>
        <v>86580</v>
      </c>
      <c r="AF23" s="150">
        <f t="shared" si="15"/>
        <v>21060</v>
      </c>
      <c r="AG23" s="151">
        <f t="shared" si="16"/>
        <v>21060</v>
      </c>
      <c r="AH23" s="151">
        <f t="shared" si="16"/>
        <v>21060</v>
      </c>
      <c r="AI23" s="152">
        <f t="shared" si="16"/>
        <v>21060</v>
      </c>
      <c r="AJ23" s="155">
        <f t="shared" si="17"/>
        <v>84240</v>
      </c>
      <c r="AK23" s="60">
        <f t="shared" si="18"/>
        <v>0.12365950341383058</v>
      </c>
    </row>
    <row r="24" spans="2:37" ht="22.15" hidden="1" customHeight="1" outlineLevel="1" x14ac:dyDescent="0.25">
      <c r="B24" s="91" t="s">
        <v>48</v>
      </c>
      <c r="C24" s="150">
        <f>((INDEX(Assumptions!$B$8:$B$46,MATCH("Total King",Assumptions!$A$8:$A$46,0)))*((C$19+C$20)*INDEX(Assumptions!$E$78:$E$83,MATCH('Cash flow forecast'!$B24,Assumptions!$A$78:$A$83,0))))</f>
        <v>3825</v>
      </c>
      <c r="D24" s="151">
        <f>(((INDEX(Assumptions!$B$8:$B$46,MATCH("Total King",Assumptions!$A$8:$A$46,0)))*((D$19+D$20)*INDEX(Assumptions!$E$78:$E$83,MATCH('Cash flow forecast'!$B24,Assumptions!$A$78:$A$83,0)))))*(1+Assumptions!$B$85)</f>
        <v>0</v>
      </c>
      <c r="E24" s="151">
        <f>(((INDEX(Assumptions!$B$8:$B$46,MATCH("Total King",Assumptions!$A$8:$A$46,0)))*((E$19+E$20)*INDEX(Assumptions!$E$78:$E$83,MATCH('Cash flow forecast'!$B24,Assumptions!$A$78:$A$83,0)))))*(1+Assumptions!$B$85)</f>
        <v>3442.5</v>
      </c>
      <c r="F24" s="151">
        <f>(((INDEX(Assumptions!$B$8:$B$46,MATCH("Total King",Assumptions!$A$8:$A$46,0)))*((F$19+F$20)*INDEX(Assumptions!$E$78:$E$83,MATCH('Cash flow forecast'!$B24,Assumptions!$A$78:$A$83,0)))))*(1+Assumptions!$B$85)</f>
        <v>0</v>
      </c>
      <c r="G24" s="151">
        <f>(((INDEX(Assumptions!$B$8:$B$46,MATCH("Total King",Assumptions!$A$8:$A$46,0)))*((G$19+G$20)*INDEX(Assumptions!$E$78:$E$83,MATCH('Cash flow forecast'!$B24,Assumptions!$A$78:$A$83,0)))))*(1+Assumptions!$B$85)</f>
        <v>0</v>
      </c>
      <c r="H24" s="151">
        <f>(((INDEX(Assumptions!$B$8:$B$46,MATCH("Total King",Assumptions!$A$8:$A$46,0)))*((H$19+H$20)*INDEX(Assumptions!$E$78:$E$83,MATCH('Cash flow forecast'!$B24,Assumptions!$A$78:$A$83,0)))))*(1+Assumptions!$B$85)</f>
        <v>0</v>
      </c>
      <c r="I24" s="151">
        <f>(((INDEX(Assumptions!$B$8:$B$46,MATCH("Total King",Assumptions!$A$8:$A$46,0)))*((I$19+I$20)*INDEX(Assumptions!$E$78:$E$83,MATCH('Cash flow forecast'!$B24,Assumptions!$A$78:$A$83,0)))))*(1+Assumptions!$B$85)</f>
        <v>3442.5</v>
      </c>
      <c r="J24" s="151">
        <f>(((INDEX(Assumptions!$B$8:$B$46,MATCH("Total King",Assumptions!$A$8:$A$46,0)))*((J$19+J$20)*INDEX(Assumptions!$E$78:$E$83,MATCH('Cash flow forecast'!$B24,Assumptions!$A$78:$A$83,0)))))*(1+Assumptions!$B$85)</f>
        <v>0</v>
      </c>
      <c r="K24" s="151">
        <f>(((INDEX(Assumptions!$B$8:$B$46,MATCH("Total King",Assumptions!$A$8:$A$46,0)))*((K$19+K$20)*INDEX(Assumptions!$E$78:$E$83,MATCH('Cash flow forecast'!$B24,Assumptions!$A$78:$A$83,0)))))*(1+Assumptions!$B$85)</f>
        <v>3442.5</v>
      </c>
      <c r="L24" s="151">
        <f>(((INDEX(Assumptions!$B$8:$B$46,MATCH("Total King",Assumptions!$A$8:$A$46,0)))*((L$19+L$20)*INDEX(Assumptions!$E$78:$E$83,MATCH('Cash flow forecast'!$B24,Assumptions!$A$78:$A$83,0)))))*(1+Assumptions!$B$85)</f>
        <v>0</v>
      </c>
      <c r="M24" s="151">
        <f>(((INDEX(Assumptions!$B$8:$B$46,MATCH("Total King",Assumptions!$A$8:$A$46,0)))*((M$19+M$20)*INDEX(Assumptions!$E$78:$E$83,MATCH('Cash flow forecast'!$B24,Assumptions!$A$78:$A$83,0)))))*(1+Assumptions!$B$85)</f>
        <v>0</v>
      </c>
      <c r="N24" s="160">
        <f>(((INDEX(Assumptions!$B$8:$B$46,MATCH("Total King",Assumptions!$A$8:$A$46,0)))*((N$19+N$20)*INDEX(Assumptions!$E$78:$E$83,MATCH('Cash flow forecast'!$B24,Assumptions!$A$78:$A$83,0)))))*(1+Assumptions!$B$85)</f>
        <v>0</v>
      </c>
      <c r="O24" s="150">
        <f>(((INDEX(Assumptions!$B$8:$B$46,MATCH("Total King",Assumptions!$A$8:$A$46,0)))*((O$19+O$20)*INDEX(Assumptions!$E$78:$E$83,MATCH('Cash flow forecast'!$B24,Assumptions!$A$78:$A$83,0)))))*(1+Assumptions!$B$85)</f>
        <v>3442.5</v>
      </c>
      <c r="P24" s="151">
        <f>(((INDEX(Assumptions!$B$8:$B$46,MATCH("Total King",Assumptions!$A$8:$A$46,0)))*((P$19+P$20)*INDEX(Assumptions!$E$78:$E$83,MATCH('Cash flow forecast'!$B24,Assumptions!$A$78:$A$83,0)))))*(1+Assumptions!$B$85)</f>
        <v>0</v>
      </c>
      <c r="Q24" s="151">
        <f>(((INDEX(Assumptions!$B$8:$B$46,MATCH("Total King",Assumptions!$A$8:$A$46,0)))*((Q$19+Q$20)*INDEX(Assumptions!$E$78:$E$83,MATCH('Cash flow forecast'!$B24,Assumptions!$A$78:$A$83,0)))))*(1+Assumptions!$B$85)</f>
        <v>3442.5</v>
      </c>
      <c r="R24" s="151">
        <f>(((INDEX(Assumptions!$B$8:$B$46,MATCH("Total King",Assumptions!$A$8:$A$46,0)))*((R$19+R$20)*INDEX(Assumptions!$E$78:$E$83,MATCH('Cash flow forecast'!$B24,Assumptions!$A$78:$A$83,0)))))*(1+Assumptions!$B$85)</f>
        <v>0</v>
      </c>
      <c r="S24" s="151">
        <f>(((INDEX(Assumptions!$B$8:$B$46,MATCH("Total King",Assumptions!$A$8:$A$46,0)))*((S$19+S$20)*INDEX(Assumptions!$E$78:$E$83,MATCH('Cash flow forecast'!$B24,Assumptions!$A$78:$A$83,0)))))*(1+Assumptions!$B$85)</f>
        <v>0</v>
      </c>
      <c r="T24" s="151">
        <f>(((INDEX(Assumptions!$B$8:$B$46,MATCH("Total King",Assumptions!$A$8:$A$46,0)))*((T$19+T$20)*INDEX(Assumptions!$E$78:$E$83,MATCH('Cash flow forecast'!$B24,Assumptions!$A$78:$A$83,0)))))*(1+Assumptions!$B$85)</f>
        <v>0</v>
      </c>
      <c r="U24" s="151">
        <f>(((INDEX(Assumptions!$B$8:$B$46,MATCH("Total King",Assumptions!$A$8:$A$46,0)))*((U$19+U$20)*INDEX(Assumptions!$E$78:$E$83,MATCH('Cash flow forecast'!$B24,Assumptions!$A$78:$A$83,0)))))*(1+Assumptions!$B$85)</f>
        <v>3442.5</v>
      </c>
      <c r="V24" s="151">
        <f>(((INDEX(Assumptions!$B$8:$B$46,MATCH("Total King",Assumptions!$A$8:$A$46,0)))*((V$19+V$20)*INDEX(Assumptions!$E$78:$E$83,MATCH('Cash flow forecast'!$B24,Assumptions!$A$78:$A$83,0)))))*(1+Assumptions!$B$85)</f>
        <v>0</v>
      </c>
      <c r="W24" s="151">
        <f>(((INDEX(Assumptions!$B$8:$B$46,MATCH("Total King",Assumptions!$A$8:$A$46,0)))*((W$19+W$20)*INDEX(Assumptions!$E$78:$E$83,MATCH('Cash flow forecast'!$B24,Assumptions!$A$78:$A$83,0)))))*(1+Assumptions!$B$85)</f>
        <v>3442.5</v>
      </c>
      <c r="X24" s="151">
        <f>(((INDEX(Assumptions!$B$8:$B$46,MATCH("Total King",Assumptions!$A$8:$A$46,0)))*((X$19+X$20)*INDEX(Assumptions!$E$78:$E$83,MATCH('Cash flow forecast'!$B24,Assumptions!$A$78:$A$83,0)))))*(1+Assumptions!$B$85)</f>
        <v>0</v>
      </c>
      <c r="Y24" s="151">
        <f>(((INDEX(Assumptions!$B$8:$B$46,MATCH("Total King",Assumptions!$A$8:$A$46,0)))*((Y$19+Y$20)*INDEX(Assumptions!$E$78:$E$83,MATCH('Cash flow forecast'!$B24,Assumptions!$A$78:$A$83,0)))))*(1+Assumptions!$B$85)</f>
        <v>0</v>
      </c>
      <c r="Z24" s="152">
        <f>(((INDEX(Assumptions!$B$8:$B$46,MATCH("Total King",Assumptions!$A$8:$A$46,0)))*((Z$19+Z$20)*INDEX(Assumptions!$E$78:$E$83,MATCH('Cash flow forecast'!$B24,Assumptions!$A$78:$A$83,0)))))*(1+Assumptions!$B$85)</f>
        <v>0</v>
      </c>
      <c r="AA24" s="150">
        <f t="shared" si="14"/>
        <v>3825</v>
      </c>
      <c r="AB24" s="151">
        <f t="shared" si="14"/>
        <v>3442.5</v>
      </c>
      <c r="AC24" s="151">
        <f t="shared" si="14"/>
        <v>3442.5</v>
      </c>
      <c r="AD24" s="152">
        <f t="shared" si="14"/>
        <v>3442.5</v>
      </c>
      <c r="AE24" s="154">
        <f t="shared" si="6"/>
        <v>14152.5</v>
      </c>
      <c r="AF24" s="150">
        <f t="shared" si="15"/>
        <v>3442.5</v>
      </c>
      <c r="AG24" s="151">
        <f t="shared" si="16"/>
        <v>3442.5</v>
      </c>
      <c r="AH24" s="151">
        <f t="shared" si="16"/>
        <v>3442.5</v>
      </c>
      <c r="AI24" s="152">
        <f t="shared" si="16"/>
        <v>3442.5</v>
      </c>
      <c r="AJ24" s="155">
        <f t="shared" si="17"/>
        <v>13770</v>
      </c>
      <c r="AK24" s="60">
        <f t="shared" si="18"/>
        <v>2.0213572673414615E-2</v>
      </c>
    </row>
    <row r="25" spans="2:37" ht="22.15" hidden="1" customHeight="1" outlineLevel="1" x14ac:dyDescent="0.25">
      <c r="B25" s="91" t="s">
        <v>49</v>
      </c>
      <c r="C25" s="161">
        <f>((INDEX(Assumptions!$B$8:$B$46,MATCH("Total Universal",Assumptions!$A$8:$A$46,0)))*((C$19+C$20)*INDEX(Assumptions!$E$78:$E$83,MATCH('Cash flow forecast'!$B25,Assumptions!$A$78:$A$83,0))))</f>
        <v>0</v>
      </c>
      <c r="D25" s="162">
        <f>(((INDEX(Assumptions!$B$8:$B$46,MATCH("Total Universal",Assumptions!$A$8:$A$46,0)))*((D$19+D$20)*INDEX(Assumptions!$E$78:$E$83,MATCH('Cash flow forecast'!$B25,Assumptions!$A$78:$A$83,0)))))*(1+Assumptions!$B$85)</f>
        <v>0</v>
      </c>
      <c r="E25" s="162">
        <f>(((INDEX(Assumptions!$B$8:$B$46,MATCH("Total Universal",Assumptions!$A$8:$A$46,0)))*((E$19+E$20)*INDEX(Assumptions!$E$78:$E$83,MATCH('Cash flow forecast'!$B25,Assumptions!$A$78:$A$83,0)))))*(1+Assumptions!$B$85)</f>
        <v>0</v>
      </c>
      <c r="F25" s="162">
        <f>(((INDEX(Assumptions!$B$8:$B$46,MATCH("Total Universal",Assumptions!$A$8:$A$46,0)))*((F$19+F$20)*INDEX(Assumptions!$E$78:$E$83,MATCH('Cash flow forecast'!$B25,Assumptions!$A$78:$A$83,0)))))*(1+Assumptions!$B$85)</f>
        <v>0</v>
      </c>
      <c r="G25" s="162">
        <f>(((INDEX(Assumptions!$B$8:$B$46,MATCH("Total Universal",Assumptions!$A$8:$A$46,0)))*((G$19+G$20)*INDEX(Assumptions!$E$78:$E$83,MATCH('Cash flow forecast'!$B25,Assumptions!$A$78:$A$83,0)))))*(1+Assumptions!$B$85)</f>
        <v>0</v>
      </c>
      <c r="H25" s="162">
        <f>(((INDEX(Assumptions!$B$8:$B$46,MATCH("Total Universal",Assumptions!$A$8:$A$46,0)))*((H$19+H$20)*INDEX(Assumptions!$E$78:$E$83,MATCH('Cash flow forecast'!$B25,Assumptions!$A$78:$A$83,0)))))*(1+Assumptions!$B$85)</f>
        <v>0</v>
      </c>
      <c r="I25" s="162">
        <f>(((INDEX(Assumptions!$B$8:$B$46,MATCH("Total Universal",Assumptions!$A$8:$A$46,0)))*((I$19+I$20)*INDEX(Assumptions!$E$78:$E$83,MATCH('Cash flow forecast'!$B25,Assumptions!$A$78:$A$83,0)))))*(1+Assumptions!$B$85)</f>
        <v>0</v>
      </c>
      <c r="J25" s="162">
        <f>(((INDEX(Assumptions!$B$8:$B$46,MATCH("Total Universal",Assumptions!$A$8:$A$46,0)))*((J$19+J$20)*INDEX(Assumptions!$E$78:$E$83,MATCH('Cash flow forecast'!$B25,Assumptions!$A$78:$A$83,0)))))*(1+Assumptions!$B$85)</f>
        <v>0</v>
      </c>
      <c r="K25" s="162">
        <f>(((INDEX(Assumptions!$B$8:$B$46,MATCH("Total Universal",Assumptions!$A$8:$A$46,0)))*((K$19+K$20)*INDEX(Assumptions!$E$78:$E$83,MATCH('Cash flow forecast'!$B25,Assumptions!$A$78:$A$83,0)))))*(1+Assumptions!$B$85)</f>
        <v>0</v>
      </c>
      <c r="L25" s="162">
        <f>(((INDEX(Assumptions!$B$8:$B$46,MATCH("Total Universal",Assumptions!$A$8:$A$46,0)))*((L$19+L$20)*INDEX(Assumptions!$E$78:$E$83,MATCH('Cash flow forecast'!$B25,Assumptions!$A$78:$A$83,0)))))*(1+Assumptions!$B$85)</f>
        <v>0</v>
      </c>
      <c r="M25" s="162">
        <f>(((INDEX(Assumptions!$B$8:$B$46,MATCH("Total Universal",Assumptions!$A$8:$A$46,0)))*((M$19+M$20)*INDEX(Assumptions!$E$78:$E$83,MATCH('Cash flow forecast'!$B25,Assumptions!$A$78:$A$83,0)))))*(1+Assumptions!$B$85)</f>
        <v>0</v>
      </c>
      <c r="N25" s="163">
        <f>(((INDEX(Assumptions!$B$8:$B$46,MATCH("Total Universal",Assumptions!$A$8:$A$46,0)))*((N$19+N$20)*INDEX(Assumptions!$E$78:$E$83,MATCH('Cash flow forecast'!$B25,Assumptions!$A$78:$A$83,0)))))*(1+Assumptions!$B$85)</f>
        <v>0</v>
      </c>
      <c r="O25" s="150">
        <f>(((INDEX(Assumptions!$B$8:$B$46,MATCH("Total Universal",Assumptions!$A$8:$A$46,0)))*((O$19+O$20)*INDEX(Assumptions!$E$78:$E$83,MATCH('Cash flow forecast'!$B25,Assumptions!$A$78:$A$83,0)))))*(1+Assumptions!$B$85)</f>
        <v>0</v>
      </c>
      <c r="P25" s="151">
        <f>(((INDEX(Assumptions!$B$8:$B$46,MATCH("Total Universal",Assumptions!$A$8:$A$46,0)))*((P$19+P$20)*INDEX(Assumptions!$E$78:$E$83,MATCH('Cash flow forecast'!$B25,Assumptions!$A$78:$A$83,0)))))*(1+Assumptions!$B$85)</f>
        <v>0</v>
      </c>
      <c r="Q25" s="151">
        <f>(((INDEX(Assumptions!$B$8:$B$46,MATCH("Total Universal",Assumptions!$A$8:$A$46,0)))*((Q$19+Q$20)*INDEX(Assumptions!$E$78:$E$83,MATCH('Cash flow forecast'!$B25,Assumptions!$A$78:$A$83,0)))))*(1+Assumptions!$B$85)</f>
        <v>0</v>
      </c>
      <c r="R25" s="151">
        <f>(((INDEX(Assumptions!$B$8:$B$46,MATCH("Total Universal",Assumptions!$A$8:$A$46,0)))*((R$19+R$20)*INDEX(Assumptions!$E$78:$E$83,MATCH('Cash flow forecast'!$B25,Assumptions!$A$78:$A$83,0)))))*(1+Assumptions!$B$85)</f>
        <v>0</v>
      </c>
      <c r="S25" s="151">
        <f>(((INDEX(Assumptions!$B$8:$B$46,MATCH("Total Universal",Assumptions!$A$8:$A$46,0)))*((S$19+S$20)*INDEX(Assumptions!$E$78:$E$83,MATCH('Cash flow forecast'!$B25,Assumptions!$A$78:$A$83,0)))))*(1+Assumptions!$B$85)</f>
        <v>0</v>
      </c>
      <c r="T25" s="151">
        <f>(((INDEX(Assumptions!$B$8:$B$46,MATCH("Total Universal",Assumptions!$A$8:$A$46,0)))*((T$19+T$20)*INDEX(Assumptions!$E$78:$E$83,MATCH('Cash flow forecast'!$B25,Assumptions!$A$78:$A$83,0)))))*(1+Assumptions!$B$85)</f>
        <v>0</v>
      </c>
      <c r="U25" s="151">
        <f>(((INDEX(Assumptions!$B$8:$B$46,MATCH("Total Universal",Assumptions!$A$8:$A$46,0)))*((U$19+U$20)*INDEX(Assumptions!$E$78:$E$83,MATCH('Cash flow forecast'!$B25,Assumptions!$A$78:$A$83,0)))))*(1+Assumptions!$B$85)</f>
        <v>0</v>
      </c>
      <c r="V25" s="151">
        <f>(((INDEX(Assumptions!$B$8:$B$46,MATCH("Total Universal",Assumptions!$A$8:$A$46,0)))*((V$19+V$20)*INDEX(Assumptions!$E$78:$E$83,MATCH('Cash flow forecast'!$B25,Assumptions!$A$78:$A$83,0)))))*(1+Assumptions!$B$85)</f>
        <v>0</v>
      </c>
      <c r="W25" s="151">
        <f>(((INDEX(Assumptions!$B$8:$B$46,MATCH("Total Universal",Assumptions!$A$8:$A$46,0)))*((W$19+W$20)*INDEX(Assumptions!$E$78:$E$83,MATCH('Cash flow forecast'!$B25,Assumptions!$A$78:$A$83,0)))))*(1+Assumptions!$B$85)</f>
        <v>0</v>
      </c>
      <c r="X25" s="151">
        <f>(((INDEX(Assumptions!$B$8:$B$46,MATCH("Total Universal",Assumptions!$A$8:$A$46,0)))*((X$19+X$20)*INDEX(Assumptions!$E$78:$E$83,MATCH('Cash flow forecast'!$B25,Assumptions!$A$78:$A$83,0)))))*(1+Assumptions!$B$85)</f>
        <v>0</v>
      </c>
      <c r="Y25" s="151">
        <f>(((INDEX(Assumptions!$B$8:$B$46,MATCH("Total Universal",Assumptions!$A$8:$A$46,0)))*((Y$19+Y$20)*INDEX(Assumptions!$E$78:$E$83,MATCH('Cash flow forecast'!$B25,Assumptions!$A$78:$A$83,0)))))*(1+Assumptions!$B$85)</f>
        <v>0</v>
      </c>
      <c r="Z25" s="152">
        <f>(((INDEX(Assumptions!$B$8:$B$46,MATCH("Total Universal",Assumptions!$A$8:$A$46,0)))*((Z$19+Z$20)*INDEX(Assumptions!$E$78:$E$83,MATCH('Cash flow forecast'!$B25,Assumptions!$A$78:$A$83,0)))))*(1+Assumptions!$B$85)</f>
        <v>0</v>
      </c>
      <c r="AA25" s="150">
        <f t="shared" si="14"/>
        <v>0</v>
      </c>
      <c r="AB25" s="151">
        <f t="shared" si="14"/>
        <v>0</v>
      </c>
      <c r="AC25" s="151">
        <f t="shared" si="14"/>
        <v>0</v>
      </c>
      <c r="AD25" s="152">
        <f t="shared" si="14"/>
        <v>0</v>
      </c>
      <c r="AE25" s="154">
        <f t="shared" si="6"/>
        <v>0</v>
      </c>
      <c r="AF25" s="150">
        <f t="shared" si="15"/>
        <v>0</v>
      </c>
      <c r="AG25" s="151">
        <f t="shared" si="16"/>
        <v>0</v>
      </c>
      <c r="AH25" s="151">
        <f t="shared" si="16"/>
        <v>0</v>
      </c>
      <c r="AI25" s="152">
        <f t="shared" si="16"/>
        <v>0</v>
      </c>
      <c r="AJ25" s="155">
        <f t="shared" si="17"/>
        <v>0</v>
      </c>
      <c r="AK25" s="60">
        <f t="shared" si="18"/>
        <v>0</v>
      </c>
    </row>
    <row r="26" spans="2:37" ht="22.15" hidden="1" customHeight="1" outlineLevel="1" x14ac:dyDescent="0.25">
      <c r="B26" s="96" t="s">
        <v>0</v>
      </c>
      <c r="C26" s="156">
        <f>SUM(C21:C25)</f>
        <v>29280.375</v>
      </c>
      <c r="D26" s="157">
        <f t="shared" ref="D26" si="19">SUM(D21:D25)</f>
        <v>0</v>
      </c>
      <c r="E26" s="157">
        <f t="shared" ref="E26" si="20">SUM(E21:E25)</f>
        <v>26352.337500000001</v>
      </c>
      <c r="F26" s="157">
        <f t="shared" ref="F26" si="21">SUM(F21:F25)</f>
        <v>0</v>
      </c>
      <c r="G26" s="157">
        <f t="shared" ref="G26" si="22">SUM(G21:G25)</f>
        <v>0</v>
      </c>
      <c r="H26" s="157">
        <f t="shared" ref="H26" si="23">SUM(H21:H25)</f>
        <v>0</v>
      </c>
      <c r="I26" s="157">
        <f t="shared" ref="I26" si="24">SUM(I21:I25)</f>
        <v>26352.337500000001</v>
      </c>
      <c r="J26" s="157">
        <f t="shared" ref="J26" si="25">SUM(J21:J25)</f>
        <v>0</v>
      </c>
      <c r="K26" s="157">
        <f t="shared" ref="K26" si="26">SUM(K21:K25)</f>
        <v>26352.337500000001</v>
      </c>
      <c r="L26" s="157">
        <f t="shared" ref="L26" si="27">SUM(L21:L25)</f>
        <v>0</v>
      </c>
      <c r="M26" s="157">
        <f t="shared" ref="M26" si="28">SUM(M21:M25)</f>
        <v>0</v>
      </c>
      <c r="N26" s="157">
        <f t="shared" ref="N26" si="29">SUM(N21:N25)</f>
        <v>0</v>
      </c>
      <c r="O26" s="156">
        <f t="shared" ref="O26" si="30">SUM(O21:O25)</f>
        <v>26352.337500000001</v>
      </c>
      <c r="P26" s="157">
        <f t="shared" ref="P26" si="31">SUM(P21:P25)</f>
        <v>0</v>
      </c>
      <c r="Q26" s="157">
        <f t="shared" ref="Q26" si="32">SUM(Q21:Q25)</f>
        <v>26352.337500000001</v>
      </c>
      <c r="R26" s="157">
        <f t="shared" ref="R26" si="33">SUM(R21:R25)</f>
        <v>0</v>
      </c>
      <c r="S26" s="157">
        <f t="shared" ref="S26" si="34">SUM(S21:S25)</f>
        <v>0</v>
      </c>
      <c r="T26" s="157">
        <f t="shared" ref="T26" si="35">SUM(T21:T25)</f>
        <v>0</v>
      </c>
      <c r="U26" s="157">
        <f t="shared" ref="U26" si="36">SUM(U21:U25)</f>
        <v>26352.337500000001</v>
      </c>
      <c r="V26" s="157">
        <f t="shared" ref="V26" si="37">SUM(V21:V25)</f>
        <v>0</v>
      </c>
      <c r="W26" s="157">
        <f t="shared" ref="W26" si="38">SUM(W21:W25)</f>
        <v>26352.337500000001</v>
      </c>
      <c r="X26" s="157">
        <f t="shared" ref="X26" si="39">SUM(X21:X25)</f>
        <v>0</v>
      </c>
      <c r="Y26" s="157">
        <f t="shared" ref="Y26" si="40">SUM(Y21:Y25)</f>
        <v>0</v>
      </c>
      <c r="Z26" s="158">
        <f t="shared" ref="Z26" si="41">SUM(Z21:Z25)</f>
        <v>0</v>
      </c>
      <c r="AA26" s="156">
        <f>SUM(AA21:AA25)</f>
        <v>29280.375</v>
      </c>
      <c r="AB26" s="157">
        <f t="shared" ref="AB26" si="42">SUM(AB21:AB25)</f>
        <v>26352.337500000001</v>
      </c>
      <c r="AC26" s="157">
        <f t="shared" ref="AC26" si="43">SUM(AC21:AC25)</f>
        <v>26352.337500000001</v>
      </c>
      <c r="AD26" s="158">
        <f t="shared" ref="AD26" si="44">SUM(AD21:AD25)</f>
        <v>26352.337500000001</v>
      </c>
      <c r="AE26" s="159">
        <f t="shared" si="6"/>
        <v>108337.38750000001</v>
      </c>
      <c r="AF26" s="156">
        <f>SUM(AF21:AF25)</f>
        <v>26352.337500000001</v>
      </c>
      <c r="AG26" s="157">
        <f t="shared" ref="AG26" si="45">SUM(AG21:AG25)</f>
        <v>26352.337500000001</v>
      </c>
      <c r="AH26" s="157">
        <f t="shared" ref="AH26" si="46">SUM(AH21:AH25)</f>
        <v>26352.337500000001</v>
      </c>
      <c r="AI26" s="158">
        <f t="shared" ref="AI26" si="47">SUM(AI21:AI25)</f>
        <v>26352.337500000001</v>
      </c>
      <c r="AJ26" s="156">
        <f t="shared" si="17"/>
        <v>105409.35</v>
      </c>
      <c r="AK26" s="61">
        <f t="shared" si="18"/>
        <v>0.15473489881498889</v>
      </c>
    </row>
    <row r="27" spans="2:37" ht="22.15" hidden="1" customHeight="1" outlineLevel="1" x14ac:dyDescent="0.25">
      <c r="B27" s="90" t="s">
        <v>57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spans="2:37" ht="22.15" hidden="1" customHeight="1" outlineLevel="1" x14ac:dyDescent="0.25">
      <c r="B28" s="64" t="s">
        <v>120</v>
      </c>
      <c r="C28" s="59">
        <f>SUMIFS(Formatting!$A$43:$A$47,Formatting!$E$43:$E$47,'Cash flow forecast'!C$5)</f>
        <v>1</v>
      </c>
      <c r="D28" s="59">
        <f>SUMIFS(Formatting!$A$43:$A$47,Formatting!$E$43:$E$47,'Cash flow forecast'!D$5)</f>
        <v>0</v>
      </c>
      <c r="E28" s="59">
        <f>SUMIFS(Formatting!$A$43:$A$47,Formatting!$E$43:$E$47,'Cash flow forecast'!E$5)</f>
        <v>1</v>
      </c>
      <c r="F28" s="59">
        <f>SUMIFS(Formatting!$A$43:$A$47,Formatting!$E$43:$E$47,'Cash flow forecast'!F$5)</f>
        <v>0</v>
      </c>
      <c r="G28" s="59">
        <f>SUMIFS(Formatting!$A$43:$A$47,Formatting!$E$43:$E$47,'Cash flow forecast'!G$5)</f>
        <v>0</v>
      </c>
      <c r="H28" s="59">
        <f>SUMIFS(Formatting!$A$43:$A$47,Formatting!$E$43:$E$47,'Cash flow forecast'!H$5)</f>
        <v>0</v>
      </c>
      <c r="I28" s="59">
        <f>SUMIFS(Formatting!$A$43:$A$47,Formatting!$E$43:$E$47,'Cash flow forecast'!I$5)</f>
        <v>0</v>
      </c>
      <c r="J28" s="59">
        <f>SUMIFS(Formatting!$A$43:$A$47,Formatting!$E$43:$E$47,'Cash flow forecast'!J$5)</f>
        <v>0</v>
      </c>
      <c r="K28" s="59">
        <f>SUMIFS(Formatting!$A$43:$A$47,Formatting!$E$43:$E$47,'Cash flow forecast'!K$5)</f>
        <v>0</v>
      </c>
      <c r="L28" s="59">
        <f>SUMIFS(Formatting!$A$43:$A$47,Formatting!$E$43:$E$47,'Cash flow forecast'!L$5)</f>
        <v>0</v>
      </c>
      <c r="M28" s="59">
        <f>SUMIFS(Formatting!$A$43:$A$47,Formatting!$E$43:$E$47,'Cash flow forecast'!M$5)</f>
        <v>0</v>
      </c>
      <c r="N28" s="59">
        <f>SUMIFS(Formatting!$A$43:$A$47,Formatting!$E$43:$E$47,'Cash flow forecast'!N$5)</f>
        <v>0</v>
      </c>
      <c r="O28" s="59">
        <f>SUMIFS(Formatting!$A$43:$A$47,Formatting!$E$43:$E$47,'Cash flow forecast'!O$5)</f>
        <v>0</v>
      </c>
      <c r="P28" s="59">
        <f>SUMIFS(Formatting!$A$43:$A$47,Formatting!$E$43:$E$47,'Cash flow forecast'!P$5)</f>
        <v>0</v>
      </c>
      <c r="Q28" s="59">
        <f>SUMIFS(Formatting!$A$43:$A$47,Formatting!$E$43:$E$47,'Cash flow forecast'!Q$5)</f>
        <v>0</v>
      </c>
      <c r="R28" s="59">
        <f>SUMIFS(Formatting!$A$43:$A$47,Formatting!$E$43:$E$47,'Cash flow forecast'!R$5)</f>
        <v>0</v>
      </c>
      <c r="S28" s="59">
        <f>SUMIFS(Formatting!$A$43:$A$47,Formatting!$E$43:$E$47,'Cash flow forecast'!S$5)</f>
        <v>0</v>
      </c>
      <c r="T28" s="59">
        <f>SUMIFS(Formatting!$A$43:$A$47,Formatting!$E$43:$E$47,'Cash flow forecast'!T$5)</f>
        <v>0</v>
      </c>
      <c r="U28" s="59">
        <f>SUMIFS(Formatting!$A$43:$A$47,Formatting!$E$43:$E$47,'Cash flow forecast'!U$5)</f>
        <v>0</v>
      </c>
      <c r="V28" s="59">
        <f>SUMIFS(Formatting!$A$43:$A$47,Formatting!$E$43:$E$47,'Cash flow forecast'!V$5)</f>
        <v>0</v>
      </c>
      <c r="W28" s="59">
        <f>SUMIFS(Formatting!$A$43:$A$47,Formatting!$E$43:$E$47,'Cash flow forecast'!W$5)</f>
        <v>0</v>
      </c>
      <c r="X28" s="59">
        <f>SUMIFS(Formatting!$A$43:$A$47,Formatting!$E$43:$E$47,'Cash flow forecast'!X$5)</f>
        <v>1</v>
      </c>
      <c r="Y28" s="59">
        <f>SUMIFS(Formatting!$A$43:$A$47,Formatting!$E$43:$E$47,'Cash flow forecast'!Y$5)</f>
        <v>0</v>
      </c>
      <c r="Z28" s="59">
        <f>SUMIFS(Formatting!$A$43:$A$47,Formatting!$E$43:$E$47,'Cash flow forecast'!Z$5)</f>
        <v>0</v>
      </c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2:37" ht="22.15" hidden="1" customHeight="1" outlineLevel="1" x14ac:dyDescent="0.25">
      <c r="B29" s="64" t="s">
        <v>121</v>
      </c>
      <c r="C29" s="59">
        <f>IFERROR(INDEX(Formatting!$F$44:$T$44,MATCH('Cash flow forecast'!C$5,Formatting!$F$43:$T$43,0)),0)+IFERROR(INDEX(Formatting!$F$46:$T$46,MATCH('Cash flow forecast'!C$5,Formatting!$F$45:$T$45,0)),0)+IFERROR(INDEX(Formatting!$F$48:$T$48,MATCH('Cash flow forecast'!C$5,Formatting!$F$47:$T$47,0)),0)</f>
        <v>0</v>
      </c>
      <c r="D29" s="59">
        <f>IFERROR(INDEX(Formatting!$F$44:$T$44,MATCH('Cash flow forecast'!D$5,Formatting!$F$43:$T$43,0)),0)+IFERROR(INDEX(Formatting!$F$46:$T$46,MATCH('Cash flow forecast'!D$5,Formatting!$F$45:$T$45,0)),0)+IFERROR(INDEX(Formatting!$F$48:$T$48,MATCH('Cash flow forecast'!D$5,Formatting!$F$47:$T$47,0)),0)</f>
        <v>0</v>
      </c>
      <c r="E29" s="59">
        <f>IFERROR(INDEX(Formatting!$F$44:$T$44,MATCH('Cash flow forecast'!E$5,Formatting!$F$43:$T$43,0)),0)+IFERROR(INDEX(Formatting!$F$46:$T$46,MATCH('Cash flow forecast'!E$5,Formatting!$F$45:$T$45,0)),0)+IFERROR(INDEX(Formatting!$F$48:$T$48,MATCH('Cash flow forecast'!E$5,Formatting!$F$47:$T$47,0)),0)</f>
        <v>0</v>
      </c>
      <c r="F29" s="59">
        <f>IFERROR(INDEX(Formatting!$F$44:$T$44,MATCH('Cash flow forecast'!F$5,Formatting!$F$43:$T$43,0)),0)+IFERROR(INDEX(Formatting!$F$46:$T$46,MATCH('Cash flow forecast'!F$5,Formatting!$F$45:$T$45,0)),0)+IFERROR(INDEX(Formatting!$F$48:$T$48,MATCH('Cash flow forecast'!F$5,Formatting!$F$47:$T$47,0)),0)</f>
        <v>0</v>
      </c>
      <c r="G29" s="59">
        <f>IFERROR(INDEX(Formatting!$F$44:$T$44,MATCH('Cash flow forecast'!G$5,Formatting!$F$43:$T$43,0)),0)+IFERROR(INDEX(Formatting!$F$46:$T$46,MATCH('Cash flow forecast'!G$5,Formatting!$F$45:$T$45,0)),0)+IFERROR(INDEX(Formatting!$F$48:$T$48,MATCH('Cash flow forecast'!G$5,Formatting!$F$47:$T$47,0)),0)</f>
        <v>0</v>
      </c>
      <c r="H29" s="59">
        <f>IFERROR(INDEX(Formatting!$F$44:$T$44,MATCH('Cash flow forecast'!H$5,Formatting!$F$43:$T$43,0)),0)+IFERROR(INDEX(Formatting!$F$46:$T$46,MATCH('Cash flow forecast'!H$5,Formatting!$F$45:$T$45,0)),0)+IFERROR(INDEX(Formatting!$F$48:$T$48,MATCH('Cash flow forecast'!H$5,Formatting!$F$47:$T$47,0)),0)</f>
        <v>0</v>
      </c>
      <c r="I29" s="59">
        <f>IFERROR(INDEX(Formatting!$F$44:$T$44,MATCH('Cash flow forecast'!I$5,Formatting!$F$43:$T$43,0)),0)+IFERROR(INDEX(Formatting!$F$46:$T$46,MATCH('Cash flow forecast'!I$5,Formatting!$F$45:$T$45,0)),0)+IFERROR(INDEX(Formatting!$F$48:$T$48,MATCH('Cash flow forecast'!I$5,Formatting!$F$47:$T$47,0)),0)</f>
        <v>1</v>
      </c>
      <c r="J29" s="59">
        <f>IFERROR(INDEX(Formatting!$F$44:$T$44,MATCH('Cash flow forecast'!J$5,Formatting!$F$43:$T$43,0)),0)+IFERROR(INDEX(Formatting!$F$46:$T$46,MATCH('Cash flow forecast'!J$5,Formatting!$F$45:$T$45,0)),0)+IFERROR(INDEX(Formatting!$F$48:$T$48,MATCH('Cash flow forecast'!J$5,Formatting!$F$47:$T$47,0)),0)</f>
        <v>0</v>
      </c>
      <c r="K29" s="59">
        <f>IFERROR(INDEX(Formatting!$F$44:$T$44,MATCH('Cash flow forecast'!K$5,Formatting!$F$43:$T$43,0)),0)+IFERROR(INDEX(Formatting!$F$46:$T$46,MATCH('Cash flow forecast'!K$5,Formatting!$F$45:$T$45,0)),0)+IFERROR(INDEX(Formatting!$F$48:$T$48,MATCH('Cash flow forecast'!K$5,Formatting!$F$47:$T$47,0)),0)</f>
        <v>1</v>
      </c>
      <c r="L29" s="59">
        <f>IFERROR(INDEX(Formatting!$F$44:$T$44,MATCH('Cash flow forecast'!L$5,Formatting!$F$43:$T$43,0)),0)+IFERROR(INDEX(Formatting!$F$46:$T$46,MATCH('Cash flow forecast'!L$5,Formatting!$F$45:$T$45,0)),0)+IFERROR(INDEX(Formatting!$F$48:$T$48,MATCH('Cash flow forecast'!L$5,Formatting!$F$47:$T$47,0)),0)</f>
        <v>0</v>
      </c>
      <c r="M29" s="59">
        <f>IFERROR(INDEX(Formatting!$F$44:$T$44,MATCH('Cash flow forecast'!M$5,Formatting!$F$43:$T$43,0)),0)+IFERROR(INDEX(Formatting!$F$46:$T$46,MATCH('Cash flow forecast'!M$5,Formatting!$F$45:$T$45,0)),0)+IFERROR(INDEX(Formatting!$F$48:$T$48,MATCH('Cash flow forecast'!M$5,Formatting!$F$47:$T$47,0)),0)</f>
        <v>0</v>
      </c>
      <c r="N29" s="59">
        <f>IFERROR(INDEX(Formatting!$F$44:$T$44,MATCH('Cash flow forecast'!N$5,Formatting!$F$43:$T$43,0)),0)+IFERROR(INDEX(Formatting!$F$46:$T$46,MATCH('Cash flow forecast'!N$5,Formatting!$F$45:$T$45,0)),0)+IFERROR(INDEX(Formatting!$F$48:$T$48,MATCH('Cash flow forecast'!N$5,Formatting!$F$47:$T$47,0)),0)</f>
        <v>0</v>
      </c>
      <c r="O29" s="59">
        <f>IFERROR(INDEX(Formatting!$F$44:$T$44,MATCH('Cash flow forecast'!O$5,Formatting!$F$43:$T$43,0)),0)+IFERROR(INDEX(Formatting!$F$46:$T$46,MATCH('Cash flow forecast'!O$5,Formatting!$F$45:$T$45,0)),0)+IFERROR(INDEX(Formatting!$F$48:$T$48,MATCH('Cash flow forecast'!O$5,Formatting!$F$47:$T$47,0)),0)</f>
        <v>1</v>
      </c>
      <c r="P29" s="59">
        <f>IFERROR(INDEX(Formatting!$F$44:$T$44,MATCH('Cash flow forecast'!P$5,Formatting!$F$43:$T$43,0)),0)+IFERROR(INDEX(Formatting!$F$46:$T$46,MATCH('Cash flow forecast'!P$5,Formatting!$F$45:$T$45,0)),0)+IFERROR(INDEX(Formatting!$F$48:$T$48,MATCH('Cash flow forecast'!P$5,Formatting!$F$47:$T$47,0)),0)</f>
        <v>0</v>
      </c>
      <c r="Q29" s="59">
        <f>IFERROR(INDEX(Formatting!$F$44:$T$44,MATCH('Cash flow forecast'!Q$5,Formatting!$F$43:$T$43,0)),0)+IFERROR(INDEX(Formatting!$F$46:$T$46,MATCH('Cash flow forecast'!Q$5,Formatting!$F$45:$T$45,0)),0)+IFERROR(INDEX(Formatting!$F$48:$T$48,MATCH('Cash flow forecast'!Q$5,Formatting!$F$47:$T$47,0)),0)</f>
        <v>1</v>
      </c>
      <c r="R29" s="59">
        <f>IFERROR(INDEX(Formatting!$F$44:$T$44,MATCH('Cash flow forecast'!R$5,Formatting!$F$43:$T$43,0)),0)+IFERROR(INDEX(Formatting!$F$46:$T$46,MATCH('Cash flow forecast'!R$5,Formatting!$F$45:$T$45,0)),0)+IFERROR(INDEX(Formatting!$F$48:$T$48,MATCH('Cash flow forecast'!R$5,Formatting!$F$47:$T$47,0)),0)</f>
        <v>0</v>
      </c>
      <c r="S29" s="59">
        <f>IFERROR(INDEX(Formatting!$F$44:$T$44,MATCH('Cash flow forecast'!S$5,Formatting!$F$43:$T$43,0)),0)+IFERROR(INDEX(Formatting!$F$46:$T$46,MATCH('Cash flow forecast'!S$5,Formatting!$F$45:$T$45,0)),0)+IFERROR(INDEX(Formatting!$F$48:$T$48,MATCH('Cash flow forecast'!S$5,Formatting!$F$47:$T$47,0)),0)</f>
        <v>0</v>
      </c>
      <c r="T29" s="59">
        <f>IFERROR(INDEX(Formatting!$F$44:$T$44,MATCH('Cash flow forecast'!T$5,Formatting!$F$43:$T$43,0)),0)+IFERROR(INDEX(Formatting!$F$46:$T$46,MATCH('Cash flow forecast'!T$5,Formatting!$F$45:$T$45,0)),0)+IFERROR(INDEX(Formatting!$F$48:$T$48,MATCH('Cash flow forecast'!T$5,Formatting!$F$47:$T$47,0)),0)</f>
        <v>0</v>
      </c>
      <c r="U29" s="59">
        <f>IFERROR(INDEX(Formatting!$F$44:$T$44,MATCH('Cash flow forecast'!U$5,Formatting!$F$43:$T$43,0)),0)+IFERROR(INDEX(Formatting!$F$46:$T$46,MATCH('Cash flow forecast'!U$5,Formatting!$F$45:$T$45,0)),0)+IFERROR(INDEX(Formatting!$F$48:$T$48,MATCH('Cash flow forecast'!U$5,Formatting!$F$47:$T$47,0)),0)</f>
        <v>1</v>
      </c>
      <c r="V29" s="59">
        <f>IFERROR(INDEX(Formatting!$F$44:$T$44,MATCH('Cash flow forecast'!V$5,Formatting!$F$43:$T$43,0)),0)+IFERROR(INDEX(Formatting!$F$46:$T$46,MATCH('Cash flow forecast'!V$5,Formatting!$F$45:$T$45,0)),0)+IFERROR(INDEX(Formatting!$F$48:$T$48,MATCH('Cash flow forecast'!V$5,Formatting!$F$47:$T$47,0)),0)</f>
        <v>0</v>
      </c>
      <c r="W29" s="59">
        <f>IFERROR(INDEX(Formatting!$F$44:$T$44,MATCH('Cash flow forecast'!W$5,Formatting!$F$43:$T$43,0)),0)+IFERROR(INDEX(Formatting!$F$46:$T$46,MATCH('Cash flow forecast'!W$5,Formatting!$F$45:$T$45,0)),0)+IFERROR(INDEX(Formatting!$F$48:$T$48,MATCH('Cash flow forecast'!W$5,Formatting!$F$47:$T$47,0)),0)</f>
        <v>1</v>
      </c>
      <c r="X29" s="59">
        <f>IFERROR(INDEX(Formatting!$F$44:$T$44,MATCH('Cash flow forecast'!X$5,Formatting!$F$43:$T$43,0)),0)+IFERROR(INDEX(Formatting!$F$46:$T$46,MATCH('Cash flow forecast'!X$5,Formatting!$F$45:$T$45,0)),0)+IFERROR(INDEX(Formatting!$F$48:$T$48,MATCH('Cash flow forecast'!X$5,Formatting!$F$47:$T$47,0)),0)</f>
        <v>0</v>
      </c>
      <c r="Y29" s="59">
        <f>IFERROR(INDEX(Formatting!$F$44:$T$44,MATCH('Cash flow forecast'!Y$5,Formatting!$F$43:$T$43,0)),0)+IFERROR(INDEX(Formatting!$F$46:$T$46,MATCH('Cash flow forecast'!Y$5,Formatting!$F$45:$T$45,0)),0)+IFERROR(INDEX(Formatting!$F$48:$T$48,MATCH('Cash flow forecast'!Y$5,Formatting!$F$47:$T$47,0)),0)</f>
        <v>0</v>
      </c>
      <c r="Z29" s="59">
        <f>IFERROR(INDEX(Formatting!$F$44:$T$44,MATCH('Cash flow forecast'!Z$5,Formatting!$F$43:$T$43,0)),0)+IFERROR(INDEX(Formatting!$F$46:$T$46,MATCH('Cash flow forecast'!Z$5,Formatting!$F$45:$T$45,0)),0)+IFERROR(INDEX(Formatting!$F$48:$T$48,MATCH('Cash flow forecast'!Z$5,Formatting!$F$47:$T$47,0)),0)</f>
        <v>0</v>
      </c>
      <c r="AA29" s="99"/>
      <c r="AB29" s="99"/>
      <c r="AC29" s="99"/>
      <c r="AD29" s="99"/>
      <c r="AE29" s="99"/>
      <c r="AF29" s="99"/>
      <c r="AG29" s="99"/>
      <c r="AH29" s="99"/>
      <c r="AI29" s="99"/>
      <c r="AJ29" s="99"/>
    </row>
    <row r="30" spans="2:37" ht="22.15" hidden="1" customHeight="1" outlineLevel="1" x14ac:dyDescent="0.25">
      <c r="B30" s="91" t="s">
        <v>45</v>
      </c>
      <c r="C30" s="144">
        <f>((INDEX(Assumptions!$B$8:$B$46,MATCH("Total Twin",Assumptions!$A$8:$A$46,0)))*((C$28+C$29)*INDEX(Assumptions!$E$96:$E$101,MATCH('Cash flow forecast'!$B30,Assumptions!$A$96:$A$101,0))))</f>
        <v>2055.375</v>
      </c>
      <c r="D30" s="145">
        <f>(((INDEX(Assumptions!$B$8:$B$46,MATCH("Total Twin",Assumptions!$A$8:$A$46,0)))*((D$28+D$29)*INDEX(Assumptions!$E$96:$E$101,MATCH('Cash flow forecast'!$B30,Assumptions!$A$96:$A$101,0))))*(1+Assumptions!$B$103))</f>
        <v>0</v>
      </c>
      <c r="E30" s="145">
        <f>(((INDEX(Assumptions!$B$8:$B$46,MATCH("Total Twin",Assumptions!$A$8:$A$46,0)))*((E$28+E$29)*INDEX(Assumptions!$E$96:$E$101,MATCH('Cash flow forecast'!$B30,Assumptions!$A$96:$A$101,0))))*(1+Assumptions!$B$103))</f>
        <v>1849.8375000000001</v>
      </c>
      <c r="F30" s="145">
        <f>(((INDEX(Assumptions!$B$8:$B$46,MATCH("Total Twin",Assumptions!$A$8:$A$46,0)))*((F$28+F$29)*INDEX(Assumptions!$E$96:$E$101,MATCH('Cash flow forecast'!$B30,Assumptions!$A$96:$A$101,0))))*(1+Assumptions!$B$103))</f>
        <v>0</v>
      </c>
      <c r="G30" s="145">
        <f>(((INDEX(Assumptions!$B$8:$B$46,MATCH("Total Twin",Assumptions!$A$8:$A$46,0)))*((G$28+G$29)*INDEX(Assumptions!$E$96:$E$101,MATCH('Cash flow forecast'!$B30,Assumptions!$A$96:$A$101,0))))*(1+Assumptions!$B$103))</f>
        <v>0</v>
      </c>
      <c r="H30" s="145">
        <f>(((INDEX(Assumptions!$B$8:$B$46,MATCH("Total Twin",Assumptions!$A$8:$A$46,0)))*((H$28+H$29)*INDEX(Assumptions!$E$96:$E$101,MATCH('Cash flow forecast'!$B30,Assumptions!$A$96:$A$101,0))))*(1+Assumptions!$B$103))</f>
        <v>0</v>
      </c>
      <c r="I30" s="145">
        <f>(((INDEX(Assumptions!$B$8:$B$46,MATCH("Total Twin",Assumptions!$A$8:$A$46,0)))*((I$28+I$29)*INDEX(Assumptions!$E$96:$E$101,MATCH('Cash flow forecast'!$B30,Assumptions!$A$96:$A$101,0))))*(1+Assumptions!$B$103))</f>
        <v>1849.8375000000001</v>
      </c>
      <c r="J30" s="145">
        <f>(((INDEX(Assumptions!$B$8:$B$46,MATCH("Total Twin",Assumptions!$A$8:$A$46,0)))*((J$28+J$29)*INDEX(Assumptions!$E$96:$E$101,MATCH('Cash flow forecast'!$B30,Assumptions!$A$96:$A$101,0))))*(1+Assumptions!$B$103))</f>
        <v>0</v>
      </c>
      <c r="K30" s="145">
        <f>(((INDEX(Assumptions!$B$8:$B$46,MATCH("Total Twin",Assumptions!$A$8:$A$46,0)))*((K$28+K$29)*INDEX(Assumptions!$E$96:$E$101,MATCH('Cash flow forecast'!$B30,Assumptions!$A$96:$A$101,0))))*(1+Assumptions!$B$103))</f>
        <v>1849.8375000000001</v>
      </c>
      <c r="L30" s="145">
        <f>(((INDEX(Assumptions!$B$8:$B$46,MATCH("Total Twin",Assumptions!$A$8:$A$46,0)))*((L$28+L$29)*INDEX(Assumptions!$E$96:$E$101,MATCH('Cash flow forecast'!$B30,Assumptions!$A$96:$A$101,0))))*(1+Assumptions!$B$103))</f>
        <v>0</v>
      </c>
      <c r="M30" s="145">
        <f>(((INDEX(Assumptions!$B$8:$B$46,MATCH("Total Twin",Assumptions!$A$8:$A$46,0)))*((M$28+M$29)*INDEX(Assumptions!$E$96:$E$101,MATCH('Cash flow forecast'!$B30,Assumptions!$A$96:$A$101,0))))*(1+Assumptions!$B$103))</f>
        <v>0</v>
      </c>
      <c r="N30" s="146">
        <f>(((INDEX(Assumptions!$B$8:$B$46,MATCH("Total Twin",Assumptions!$A$8:$A$46,0)))*((N$28+N$29)*INDEX(Assumptions!$E$96:$E$101,MATCH('Cash flow forecast'!$B30,Assumptions!$A$96:$A$101,0))))*(1+Assumptions!$B$103))</f>
        <v>0</v>
      </c>
      <c r="O30" s="144">
        <f>(((INDEX(Assumptions!$B$8:$B$46,MATCH("Total Twin",Assumptions!$A$8:$A$46,0)))*((O$28+O$29)*INDEX(Assumptions!$E$96:$E$101,MATCH('Cash flow forecast'!$B30,Assumptions!$A$96:$A$101,0))))*(1+Assumptions!$B$103))</f>
        <v>1849.8375000000001</v>
      </c>
      <c r="P30" s="145">
        <f>(((INDEX(Assumptions!$B$8:$B$46,MATCH("Total Twin",Assumptions!$A$8:$A$46,0)))*((P$28+P$29)*INDEX(Assumptions!$E$96:$E$101,MATCH('Cash flow forecast'!$B30,Assumptions!$A$96:$A$101,0))))*(1+Assumptions!$B$103))</f>
        <v>0</v>
      </c>
      <c r="Q30" s="145">
        <f>(((INDEX(Assumptions!$B$8:$B$46,MATCH("Total Twin",Assumptions!$A$8:$A$46,0)))*((Q$28+Q$29)*INDEX(Assumptions!$E$96:$E$101,MATCH('Cash flow forecast'!$B30,Assumptions!$A$96:$A$101,0))))*(1+Assumptions!$B$103))</f>
        <v>1849.8375000000001</v>
      </c>
      <c r="R30" s="145">
        <f>(((INDEX(Assumptions!$B$8:$B$46,MATCH("Total Twin",Assumptions!$A$8:$A$46,0)))*((R$28+R$29)*INDEX(Assumptions!$E$96:$E$101,MATCH('Cash flow forecast'!$B30,Assumptions!$A$96:$A$101,0))))*(1+Assumptions!$B$103))</f>
        <v>0</v>
      </c>
      <c r="S30" s="145">
        <f>(((INDEX(Assumptions!$B$8:$B$46,MATCH("Total Twin",Assumptions!$A$8:$A$46,0)))*((S$28+S$29)*INDEX(Assumptions!$E$96:$E$101,MATCH('Cash flow forecast'!$B30,Assumptions!$A$96:$A$101,0))))*(1+Assumptions!$B$103))</f>
        <v>0</v>
      </c>
      <c r="T30" s="145">
        <f>(((INDEX(Assumptions!$B$8:$B$46,MATCH("Total Twin",Assumptions!$A$8:$A$46,0)))*((T$28+T$29)*INDEX(Assumptions!$E$96:$E$101,MATCH('Cash flow forecast'!$B30,Assumptions!$A$96:$A$101,0))))*(1+Assumptions!$B$103))</f>
        <v>0</v>
      </c>
      <c r="U30" s="145">
        <f>(((INDEX(Assumptions!$B$8:$B$46,MATCH("Total Twin",Assumptions!$A$8:$A$46,0)))*((U$28+U$29)*INDEX(Assumptions!$E$96:$E$101,MATCH('Cash flow forecast'!$B30,Assumptions!$A$96:$A$101,0))))*(1+Assumptions!$B$103))</f>
        <v>1849.8375000000001</v>
      </c>
      <c r="V30" s="145">
        <f>(((INDEX(Assumptions!$B$8:$B$46,MATCH("Total Twin",Assumptions!$A$8:$A$46,0)))*((V$28+V$29)*INDEX(Assumptions!$E$96:$E$101,MATCH('Cash flow forecast'!$B30,Assumptions!$A$96:$A$101,0))))*(1+Assumptions!$B$103))</f>
        <v>0</v>
      </c>
      <c r="W30" s="145">
        <f>(((INDEX(Assumptions!$B$8:$B$46,MATCH("Total Twin",Assumptions!$A$8:$A$46,0)))*((W$28+W$29)*INDEX(Assumptions!$E$96:$E$101,MATCH('Cash flow forecast'!$B30,Assumptions!$A$96:$A$101,0))))*(1+Assumptions!$B$103))</f>
        <v>1849.8375000000001</v>
      </c>
      <c r="X30" s="145">
        <f>(((INDEX(Assumptions!$B$8:$B$46,MATCH("Total Twin",Assumptions!$A$8:$A$46,0)))*((X$28+X$29)*INDEX(Assumptions!$E$96:$E$101,MATCH('Cash flow forecast'!$B30,Assumptions!$A$96:$A$101,0))))*(1+Assumptions!$B$103))</f>
        <v>1849.8375000000001</v>
      </c>
      <c r="Y30" s="145">
        <f>(((INDEX(Assumptions!$B$8:$B$46,MATCH("Total Twin",Assumptions!$A$8:$A$46,0)))*((Y$28+Y$29)*INDEX(Assumptions!$E$96:$E$101,MATCH('Cash flow forecast'!$B30,Assumptions!$A$96:$A$101,0))))*(1+Assumptions!$B$103))</f>
        <v>0</v>
      </c>
      <c r="Z30" s="146">
        <f>(((INDEX(Assumptions!$B$8:$B$46,MATCH("Total Twin",Assumptions!$A$8:$A$46,0)))*((Z$28+Z$29)*INDEX(Assumptions!$E$96:$E$101,MATCH('Cash flow forecast'!$B30,Assumptions!$A$96:$A$101,0))))*(1+Assumptions!$B$103))</f>
        <v>0</v>
      </c>
      <c r="AA30" s="144">
        <f t="shared" ref="AA30:AD34" si="48">SUMIFS($C30:$N30,$C$6:$N$6,AA$5)</f>
        <v>2055.375</v>
      </c>
      <c r="AB30" s="145">
        <f t="shared" si="48"/>
        <v>1849.8375000000001</v>
      </c>
      <c r="AC30" s="145">
        <f t="shared" si="48"/>
        <v>1849.8375000000001</v>
      </c>
      <c r="AD30" s="146">
        <f t="shared" si="48"/>
        <v>1849.8375000000001</v>
      </c>
      <c r="AE30" s="148">
        <f t="shared" si="6"/>
        <v>7604.8875000000007</v>
      </c>
      <c r="AF30" s="144">
        <f>SUMIFS($O30:$Z30,$O$6:$Z$6,AF$5)</f>
        <v>1849.8375000000001</v>
      </c>
      <c r="AG30" s="145">
        <f t="shared" ref="AG30:AI34" si="49">SUMIFS($O30:$Z30,$O$6:$Z$6,AG$5)</f>
        <v>1849.8375000000001</v>
      </c>
      <c r="AH30" s="145">
        <f t="shared" si="49"/>
        <v>1849.8375000000001</v>
      </c>
      <c r="AI30" s="146">
        <f t="shared" si="49"/>
        <v>3699.6750000000002</v>
      </c>
      <c r="AJ30" s="149">
        <f>SUM($O30:$Z30)</f>
        <v>9249.1875</v>
      </c>
      <c r="AK30" s="164">
        <f>AVERAGE(AE30,AJ30)/AVERAGE($AE$58,$AJ$58)</f>
        <v>1.2200951557191529E-2</v>
      </c>
    </row>
    <row r="31" spans="2:37" ht="22.15" hidden="1" customHeight="1" outlineLevel="1" x14ac:dyDescent="0.25">
      <c r="B31" s="91" t="s">
        <v>46</v>
      </c>
      <c r="C31" s="150">
        <f>((INDEX(Assumptions!$B$8:$B$46,MATCH("Total Full",Assumptions!$A$8:$A$46,0)))*((C$28+C$29)*INDEX(Assumptions!$E$96:$E$101,MATCH('Cash flow forecast'!$B31,Assumptions!$A$96:$A$101,0))))</f>
        <v>0</v>
      </c>
      <c r="D31" s="151">
        <f>(((INDEX(Assumptions!$B$8:$B$46,MATCH("Total Full",Assumptions!$A$8:$A$46,0)))*((D$28+D$29)*INDEX(Assumptions!$E$96:$E$101,MATCH('Cash flow forecast'!$B31,Assumptions!$A$96:$A$101,0)))))*(1+Assumptions!$B$103)</f>
        <v>0</v>
      </c>
      <c r="E31" s="151">
        <f>(((INDEX(Assumptions!$B$8:$B$46,MATCH("Total Full",Assumptions!$A$8:$A$46,0)))*((E$28+E$29)*INDEX(Assumptions!$E$96:$E$101,MATCH('Cash flow forecast'!$B31,Assumptions!$A$96:$A$101,0)))))*(1+Assumptions!$B$103)</f>
        <v>0</v>
      </c>
      <c r="F31" s="151">
        <f>(((INDEX(Assumptions!$B$8:$B$46,MATCH("Total Full",Assumptions!$A$8:$A$46,0)))*((F$28+F$29)*INDEX(Assumptions!$E$96:$E$101,MATCH('Cash flow forecast'!$B31,Assumptions!$A$96:$A$101,0)))))*(1+Assumptions!$B$103)</f>
        <v>0</v>
      </c>
      <c r="G31" s="151">
        <f>(((INDEX(Assumptions!$B$8:$B$46,MATCH("Total Full",Assumptions!$A$8:$A$46,0)))*((G$28+G$29)*INDEX(Assumptions!$E$96:$E$101,MATCH('Cash flow forecast'!$B31,Assumptions!$A$96:$A$101,0)))))*(1+Assumptions!$B$103)</f>
        <v>0</v>
      </c>
      <c r="H31" s="151">
        <f>(((INDEX(Assumptions!$B$8:$B$46,MATCH("Total Full",Assumptions!$A$8:$A$46,0)))*((H$28+H$29)*INDEX(Assumptions!$E$96:$E$101,MATCH('Cash flow forecast'!$B31,Assumptions!$A$96:$A$101,0)))))*(1+Assumptions!$B$103)</f>
        <v>0</v>
      </c>
      <c r="I31" s="151">
        <f>(((INDEX(Assumptions!$B$8:$B$46,MATCH("Total Full",Assumptions!$A$8:$A$46,0)))*((I$28+I$29)*INDEX(Assumptions!$E$96:$E$101,MATCH('Cash flow forecast'!$B31,Assumptions!$A$96:$A$101,0)))))*(1+Assumptions!$B$103)</f>
        <v>0</v>
      </c>
      <c r="J31" s="151">
        <f>(((INDEX(Assumptions!$B$8:$B$46,MATCH("Total Full",Assumptions!$A$8:$A$46,0)))*((J$28+J$29)*INDEX(Assumptions!$E$96:$E$101,MATCH('Cash flow forecast'!$B31,Assumptions!$A$96:$A$101,0)))))*(1+Assumptions!$B$103)</f>
        <v>0</v>
      </c>
      <c r="K31" s="151">
        <f>(((INDEX(Assumptions!$B$8:$B$46,MATCH("Total Full",Assumptions!$A$8:$A$46,0)))*((K$28+K$29)*INDEX(Assumptions!$E$96:$E$101,MATCH('Cash flow forecast'!$B31,Assumptions!$A$96:$A$101,0)))))*(1+Assumptions!$B$103)</f>
        <v>0</v>
      </c>
      <c r="L31" s="151">
        <f>(((INDEX(Assumptions!$B$8:$B$46,MATCH("Total Full",Assumptions!$A$8:$A$46,0)))*((L$28+L$29)*INDEX(Assumptions!$E$96:$E$101,MATCH('Cash flow forecast'!$B31,Assumptions!$A$96:$A$101,0)))))*(1+Assumptions!$B$103)</f>
        <v>0</v>
      </c>
      <c r="M31" s="151">
        <f>(((INDEX(Assumptions!$B$8:$B$46,MATCH("Total Full",Assumptions!$A$8:$A$46,0)))*((M$28+M$29)*INDEX(Assumptions!$E$96:$E$101,MATCH('Cash flow forecast'!$B31,Assumptions!$A$96:$A$101,0)))))*(1+Assumptions!$B$103)</f>
        <v>0</v>
      </c>
      <c r="N31" s="152">
        <f>(((INDEX(Assumptions!$B$8:$B$46,MATCH("Total Full",Assumptions!$A$8:$A$46,0)))*((N$28+N$29)*INDEX(Assumptions!$E$96:$E$101,MATCH('Cash flow forecast'!$B31,Assumptions!$A$96:$A$101,0)))))*(1+Assumptions!$B$103)</f>
        <v>0</v>
      </c>
      <c r="O31" s="150">
        <f>(((INDEX(Assumptions!$B$8:$B$46,MATCH("Total Full",Assumptions!$A$8:$A$46,0)))*((O$28+O$29)*INDEX(Assumptions!$E$96:$E$101,MATCH('Cash flow forecast'!$B31,Assumptions!$A$96:$A$101,0)))))*(1+Assumptions!$B$103)</f>
        <v>0</v>
      </c>
      <c r="P31" s="151">
        <f>(((INDEX(Assumptions!$B$8:$B$46,MATCH("Total Full",Assumptions!$A$8:$A$46,0)))*((P$28+P$29)*INDEX(Assumptions!$E$96:$E$101,MATCH('Cash flow forecast'!$B31,Assumptions!$A$96:$A$101,0)))))*(1+Assumptions!$B$103)</f>
        <v>0</v>
      </c>
      <c r="Q31" s="151">
        <f>(((INDEX(Assumptions!$B$8:$B$46,MATCH("Total Full",Assumptions!$A$8:$A$46,0)))*((Q$28+Q$29)*INDEX(Assumptions!$E$96:$E$101,MATCH('Cash flow forecast'!$B31,Assumptions!$A$96:$A$101,0)))))*(1+Assumptions!$B$103)</f>
        <v>0</v>
      </c>
      <c r="R31" s="151">
        <f>(((INDEX(Assumptions!$B$8:$B$46,MATCH("Total Full",Assumptions!$A$8:$A$46,0)))*((R$28+R$29)*INDEX(Assumptions!$E$96:$E$101,MATCH('Cash flow forecast'!$B31,Assumptions!$A$96:$A$101,0)))))*(1+Assumptions!$B$103)</f>
        <v>0</v>
      </c>
      <c r="S31" s="151">
        <f>(((INDEX(Assumptions!$B$8:$B$46,MATCH("Total Full",Assumptions!$A$8:$A$46,0)))*((S$28+S$29)*INDEX(Assumptions!$E$96:$E$101,MATCH('Cash flow forecast'!$B31,Assumptions!$A$96:$A$101,0)))))*(1+Assumptions!$B$103)</f>
        <v>0</v>
      </c>
      <c r="T31" s="151">
        <f>(((INDEX(Assumptions!$B$8:$B$46,MATCH("Total Full",Assumptions!$A$8:$A$46,0)))*((T$28+T$29)*INDEX(Assumptions!$E$96:$E$101,MATCH('Cash flow forecast'!$B31,Assumptions!$A$96:$A$101,0)))))*(1+Assumptions!$B$103)</f>
        <v>0</v>
      </c>
      <c r="U31" s="151">
        <f>(((INDEX(Assumptions!$B$8:$B$46,MATCH("Total Full",Assumptions!$A$8:$A$46,0)))*((U$28+U$29)*INDEX(Assumptions!$E$96:$E$101,MATCH('Cash flow forecast'!$B31,Assumptions!$A$96:$A$101,0)))))*(1+Assumptions!$B$103)</f>
        <v>0</v>
      </c>
      <c r="V31" s="151">
        <f>(((INDEX(Assumptions!$B$8:$B$46,MATCH("Total Full",Assumptions!$A$8:$A$46,0)))*((V$28+V$29)*INDEX(Assumptions!$E$96:$E$101,MATCH('Cash flow forecast'!$B31,Assumptions!$A$96:$A$101,0)))))*(1+Assumptions!$B$103)</f>
        <v>0</v>
      </c>
      <c r="W31" s="151">
        <f>(((INDEX(Assumptions!$B$8:$B$46,MATCH("Total Full",Assumptions!$A$8:$A$46,0)))*((W$28+W$29)*INDEX(Assumptions!$E$96:$E$101,MATCH('Cash flow forecast'!$B31,Assumptions!$A$96:$A$101,0)))))*(1+Assumptions!$B$103)</f>
        <v>0</v>
      </c>
      <c r="X31" s="151">
        <f>(((INDEX(Assumptions!$B$8:$B$46,MATCH("Total Full",Assumptions!$A$8:$A$46,0)))*((X$28+X$29)*INDEX(Assumptions!$E$96:$E$101,MATCH('Cash flow forecast'!$B31,Assumptions!$A$96:$A$101,0)))))*(1+Assumptions!$B$103)</f>
        <v>0</v>
      </c>
      <c r="Y31" s="151">
        <f>(((INDEX(Assumptions!$B$8:$B$46,MATCH("Total Full",Assumptions!$A$8:$A$46,0)))*((Y$28+Y$29)*INDEX(Assumptions!$E$96:$E$101,MATCH('Cash flow forecast'!$B31,Assumptions!$A$96:$A$101,0)))))*(1+Assumptions!$B$103)</f>
        <v>0</v>
      </c>
      <c r="Z31" s="152">
        <f>(((INDEX(Assumptions!$B$8:$B$46,MATCH("Total Full",Assumptions!$A$8:$A$46,0)))*((Z$28+Z$29)*INDEX(Assumptions!$E$96:$E$101,MATCH('Cash flow forecast'!$B31,Assumptions!$A$96:$A$101,0)))))*(1+Assumptions!$B$103)</f>
        <v>0</v>
      </c>
      <c r="AA31" s="150">
        <f t="shared" si="48"/>
        <v>0</v>
      </c>
      <c r="AB31" s="151">
        <f t="shared" si="48"/>
        <v>0</v>
      </c>
      <c r="AC31" s="151">
        <f t="shared" si="48"/>
        <v>0</v>
      </c>
      <c r="AD31" s="152">
        <f t="shared" si="48"/>
        <v>0</v>
      </c>
      <c r="AE31" s="154">
        <f t="shared" si="6"/>
        <v>0</v>
      </c>
      <c r="AF31" s="150">
        <f t="shared" ref="AF31:AF34" si="50">SUMIFS($O31:$Z31,$O$6:$Z$6,AF$5)</f>
        <v>0</v>
      </c>
      <c r="AG31" s="151">
        <f t="shared" si="49"/>
        <v>0</v>
      </c>
      <c r="AH31" s="151">
        <f t="shared" si="49"/>
        <v>0</v>
      </c>
      <c r="AI31" s="152">
        <f t="shared" si="49"/>
        <v>0</v>
      </c>
      <c r="AJ31" s="155">
        <f t="shared" ref="AJ31:AJ35" si="51">SUM($O31:$Z31)</f>
        <v>0</v>
      </c>
      <c r="AK31" s="165">
        <f t="shared" ref="AK31:AK37" si="52">AVERAGE(AE31,AJ31)/AVERAGE($AE$58,$AJ$58)</f>
        <v>0</v>
      </c>
    </row>
    <row r="32" spans="2:37" ht="22.15" hidden="1" customHeight="1" outlineLevel="1" x14ac:dyDescent="0.25">
      <c r="B32" s="91" t="s">
        <v>47</v>
      </c>
      <c r="C32" s="150">
        <f>((INDEX(Assumptions!$B$8:$B$46,MATCH("Total Queen",Assumptions!$A$8:$A$46,0)))*((C$28+C$29)*INDEX(Assumptions!$E$96:$E$101,MATCH('Cash flow forecast'!$B32,Assumptions!$A$96:$A$101,0))))</f>
        <v>23400</v>
      </c>
      <c r="D32" s="151">
        <f>(((INDEX(Assumptions!$B$8:$B$46,MATCH("Total Queen",Assumptions!$A$8:$A$46,0)))*((D$28+D$29)*INDEX(Assumptions!$E$96:$E$101,MATCH('Cash flow forecast'!$B32,Assumptions!$A$96:$A$101,0)))))*(1+Assumptions!$B$103)</f>
        <v>0</v>
      </c>
      <c r="E32" s="151">
        <f>(((INDEX(Assumptions!$B$8:$B$46,MATCH("Total Queen",Assumptions!$A$8:$A$46,0)))*((E$28+E$29)*INDEX(Assumptions!$E$96:$E$101,MATCH('Cash flow forecast'!$B32,Assumptions!$A$96:$A$101,0)))))*(1+Assumptions!$B$103)</f>
        <v>21060</v>
      </c>
      <c r="F32" s="151">
        <f>(((INDEX(Assumptions!$B$8:$B$46,MATCH("Total Queen",Assumptions!$A$8:$A$46,0)))*((F$28+F$29)*INDEX(Assumptions!$E$96:$E$101,MATCH('Cash flow forecast'!$B32,Assumptions!$A$96:$A$101,0)))))*(1+Assumptions!$B$103)</f>
        <v>0</v>
      </c>
      <c r="G32" s="151">
        <f>(((INDEX(Assumptions!$B$8:$B$46,MATCH("Total Queen",Assumptions!$A$8:$A$46,0)))*((G$28+G$29)*INDEX(Assumptions!$E$96:$E$101,MATCH('Cash flow forecast'!$B32,Assumptions!$A$96:$A$101,0)))))*(1+Assumptions!$B$103)</f>
        <v>0</v>
      </c>
      <c r="H32" s="151">
        <f>(((INDEX(Assumptions!$B$8:$B$46,MATCH("Total Queen",Assumptions!$A$8:$A$46,0)))*((H$28+H$29)*INDEX(Assumptions!$E$96:$E$101,MATCH('Cash flow forecast'!$B32,Assumptions!$A$96:$A$101,0)))))*(1+Assumptions!$B$103)</f>
        <v>0</v>
      </c>
      <c r="I32" s="151">
        <f>(((INDEX(Assumptions!$B$8:$B$46,MATCH("Total Queen",Assumptions!$A$8:$A$46,0)))*((I$28+I$29)*INDEX(Assumptions!$E$96:$E$101,MATCH('Cash flow forecast'!$B32,Assumptions!$A$96:$A$101,0)))))*(1+Assumptions!$B$103)</f>
        <v>21060</v>
      </c>
      <c r="J32" s="151">
        <f>(((INDEX(Assumptions!$B$8:$B$46,MATCH("Total Queen",Assumptions!$A$8:$A$46,0)))*((J$28+J$29)*INDEX(Assumptions!$E$96:$E$101,MATCH('Cash flow forecast'!$B32,Assumptions!$A$96:$A$101,0)))))*(1+Assumptions!$B$103)</f>
        <v>0</v>
      </c>
      <c r="K32" s="151">
        <f>(((INDEX(Assumptions!$B$8:$B$46,MATCH("Total Queen",Assumptions!$A$8:$A$46,0)))*((K$28+K$29)*INDEX(Assumptions!$E$96:$E$101,MATCH('Cash flow forecast'!$B32,Assumptions!$A$96:$A$101,0)))))*(1+Assumptions!$B$103)</f>
        <v>21060</v>
      </c>
      <c r="L32" s="151">
        <f>(((INDEX(Assumptions!$B$8:$B$46,MATCH("Total Queen",Assumptions!$A$8:$A$46,0)))*((L$28+L$29)*INDEX(Assumptions!$E$96:$E$101,MATCH('Cash flow forecast'!$B32,Assumptions!$A$96:$A$101,0)))))*(1+Assumptions!$B$103)</f>
        <v>0</v>
      </c>
      <c r="M32" s="151">
        <f>(((INDEX(Assumptions!$B$8:$B$46,MATCH("Total Queen",Assumptions!$A$8:$A$46,0)))*((M$28+M$29)*INDEX(Assumptions!$E$96:$E$101,MATCH('Cash flow forecast'!$B32,Assumptions!$A$96:$A$101,0)))))*(1+Assumptions!$B$103)</f>
        <v>0</v>
      </c>
      <c r="N32" s="152">
        <f>(((INDEX(Assumptions!$B$8:$B$46,MATCH("Total Queen",Assumptions!$A$8:$A$46,0)))*((N$28+N$29)*INDEX(Assumptions!$E$96:$E$101,MATCH('Cash flow forecast'!$B32,Assumptions!$A$96:$A$101,0)))))*(1+Assumptions!$B$103)</f>
        <v>0</v>
      </c>
      <c r="O32" s="150">
        <f>(((INDEX(Assumptions!$B$8:$B$46,MATCH("Total Queen",Assumptions!$A$8:$A$46,0)))*((O$28+O$29)*INDEX(Assumptions!$E$96:$E$101,MATCH('Cash flow forecast'!$B32,Assumptions!$A$96:$A$101,0)))))*(1+Assumptions!$B$103)</f>
        <v>21060</v>
      </c>
      <c r="P32" s="151">
        <f>(((INDEX(Assumptions!$B$8:$B$46,MATCH("Total Queen",Assumptions!$A$8:$A$46,0)))*((P$28+P$29)*INDEX(Assumptions!$E$96:$E$101,MATCH('Cash flow forecast'!$B32,Assumptions!$A$96:$A$101,0)))))*(1+Assumptions!$B$103)</f>
        <v>0</v>
      </c>
      <c r="Q32" s="151">
        <f>(((INDEX(Assumptions!$B$8:$B$46,MATCH("Total Queen",Assumptions!$A$8:$A$46,0)))*((Q$28+Q$29)*INDEX(Assumptions!$E$96:$E$101,MATCH('Cash flow forecast'!$B32,Assumptions!$A$96:$A$101,0)))))*(1+Assumptions!$B$103)</f>
        <v>21060</v>
      </c>
      <c r="R32" s="151">
        <f>(((INDEX(Assumptions!$B$8:$B$46,MATCH("Total Queen",Assumptions!$A$8:$A$46,0)))*((R$28+R$29)*INDEX(Assumptions!$E$96:$E$101,MATCH('Cash flow forecast'!$B32,Assumptions!$A$96:$A$101,0)))))*(1+Assumptions!$B$103)</f>
        <v>0</v>
      </c>
      <c r="S32" s="151">
        <f>(((INDEX(Assumptions!$B$8:$B$46,MATCH("Total Queen",Assumptions!$A$8:$A$46,0)))*((S$28+S$29)*INDEX(Assumptions!$E$96:$E$101,MATCH('Cash flow forecast'!$B32,Assumptions!$A$96:$A$101,0)))))*(1+Assumptions!$B$103)</f>
        <v>0</v>
      </c>
      <c r="T32" s="151">
        <f>(((INDEX(Assumptions!$B$8:$B$46,MATCH("Total Queen",Assumptions!$A$8:$A$46,0)))*((T$28+T$29)*INDEX(Assumptions!$E$96:$E$101,MATCH('Cash flow forecast'!$B32,Assumptions!$A$96:$A$101,0)))))*(1+Assumptions!$B$103)</f>
        <v>0</v>
      </c>
      <c r="U32" s="151">
        <f>(((INDEX(Assumptions!$B$8:$B$46,MATCH("Total Queen",Assumptions!$A$8:$A$46,0)))*((U$28+U$29)*INDEX(Assumptions!$E$96:$E$101,MATCH('Cash flow forecast'!$B32,Assumptions!$A$96:$A$101,0)))))*(1+Assumptions!$B$103)</f>
        <v>21060</v>
      </c>
      <c r="V32" s="151">
        <f>(((INDEX(Assumptions!$B$8:$B$46,MATCH("Total Queen",Assumptions!$A$8:$A$46,0)))*((V$28+V$29)*INDEX(Assumptions!$E$96:$E$101,MATCH('Cash flow forecast'!$B32,Assumptions!$A$96:$A$101,0)))))*(1+Assumptions!$B$103)</f>
        <v>0</v>
      </c>
      <c r="W32" s="151">
        <f>(((INDEX(Assumptions!$B$8:$B$46,MATCH("Total Queen",Assumptions!$A$8:$A$46,0)))*((W$28+W$29)*INDEX(Assumptions!$E$96:$E$101,MATCH('Cash flow forecast'!$B32,Assumptions!$A$96:$A$101,0)))))*(1+Assumptions!$B$103)</f>
        <v>21060</v>
      </c>
      <c r="X32" s="151">
        <f>(((INDEX(Assumptions!$B$8:$B$46,MATCH("Total Queen",Assumptions!$A$8:$A$46,0)))*((X$28+X$29)*INDEX(Assumptions!$E$96:$E$101,MATCH('Cash flow forecast'!$B32,Assumptions!$A$96:$A$101,0)))))*(1+Assumptions!$B$103)</f>
        <v>21060</v>
      </c>
      <c r="Y32" s="151">
        <f>(((INDEX(Assumptions!$B$8:$B$46,MATCH("Total Queen",Assumptions!$A$8:$A$46,0)))*((Y$28+Y$29)*INDEX(Assumptions!$E$96:$E$101,MATCH('Cash flow forecast'!$B32,Assumptions!$A$96:$A$101,0)))))*(1+Assumptions!$B$103)</f>
        <v>0</v>
      </c>
      <c r="Z32" s="152">
        <f>(((INDEX(Assumptions!$B$8:$B$46,MATCH("Total Queen",Assumptions!$A$8:$A$46,0)))*((Z$28+Z$29)*INDEX(Assumptions!$E$96:$E$101,MATCH('Cash flow forecast'!$B32,Assumptions!$A$96:$A$101,0)))))*(1+Assumptions!$B$103)</f>
        <v>0</v>
      </c>
      <c r="AA32" s="150">
        <f t="shared" si="48"/>
        <v>23400</v>
      </c>
      <c r="AB32" s="151">
        <f t="shared" si="48"/>
        <v>21060</v>
      </c>
      <c r="AC32" s="151">
        <f t="shared" si="48"/>
        <v>21060</v>
      </c>
      <c r="AD32" s="152">
        <f t="shared" si="48"/>
        <v>21060</v>
      </c>
      <c r="AE32" s="154">
        <f t="shared" si="6"/>
        <v>86580</v>
      </c>
      <c r="AF32" s="150">
        <f t="shared" si="50"/>
        <v>21060</v>
      </c>
      <c r="AG32" s="151">
        <f t="shared" si="49"/>
        <v>21060</v>
      </c>
      <c r="AH32" s="151">
        <f t="shared" si="49"/>
        <v>21060</v>
      </c>
      <c r="AI32" s="152">
        <f t="shared" si="49"/>
        <v>42120</v>
      </c>
      <c r="AJ32" s="155">
        <f t="shared" si="51"/>
        <v>105300</v>
      </c>
      <c r="AK32" s="165">
        <f t="shared" si="52"/>
        <v>0.13890519561553574</v>
      </c>
    </row>
    <row r="33" spans="2:37" ht="22.15" hidden="1" customHeight="1" outlineLevel="1" x14ac:dyDescent="0.25">
      <c r="B33" s="91" t="s">
        <v>48</v>
      </c>
      <c r="C33" s="150">
        <f>((INDEX(Assumptions!$B$8:$B$46,MATCH("Total King",Assumptions!$A$8:$A$46,0)))*((C$28+C$29)*INDEX(Assumptions!$E$96:$E$101,MATCH('Cash flow forecast'!$B33,Assumptions!$A$96:$A$101,0))))</f>
        <v>3825</v>
      </c>
      <c r="D33" s="151">
        <f>(((INDEX(Assumptions!$B$8:$B$46,MATCH("Total King",Assumptions!$A$8:$A$46,0)))*((D$28+D$29)*INDEX(Assumptions!$E$96:$E$101,MATCH('Cash flow forecast'!$B33,Assumptions!$A$96:$A$101,0)))))*(1+Assumptions!$B$103)</f>
        <v>0</v>
      </c>
      <c r="E33" s="151">
        <f>(((INDEX(Assumptions!$B$8:$B$46,MATCH("Total King",Assumptions!$A$8:$A$46,0)))*((E$28+E$29)*INDEX(Assumptions!$E$96:$E$101,MATCH('Cash flow forecast'!$B33,Assumptions!$A$96:$A$101,0)))))*(1+Assumptions!$B$103)</f>
        <v>3442.5</v>
      </c>
      <c r="F33" s="151">
        <f>(((INDEX(Assumptions!$B$8:$B$46,MATCH("Total King",Assumptions!$A$8:$A$46,0)))*((F$28+F$29)*INDEX(Assumptions!$E$96:$E$101,MATCH('Cash flow forecast'!$B33,Assumptions!$A$96:$A$101,0)))))*(1+Assumptions!$B$103)</f>
        <v>0</v>
      </c>
      <c r="G33" s="151">
        <f>(((INDEX(Assumptions!$B$8:$B$46,MATCH("Total King",Assumptions!$A$8:$A$46,0)))*((G$28+G$29)*INDEX(Assumptions!$E$96:$E$101,MATCH('Cash flow forecast'!$B33,Assumptions!$A$96:$A$101,0)))))*(1+Assumptions!$B$103)</f>
        <v>0</v>
      </c>
      <c r="H33" s="151">
        <f>(((INDEX(Assumptions!$B$8:$B$46,MATCH("Total King",Assumptions!$A$8:$A$46,0)))*((H$28+H$29)*INDEX(Assumptions!$E$96:$E$101,MATCH('Cash flow forecast'!$B33,Assumptions!$A$96:$A$101,0)))))*(1+Assumptions!$B$103)</f>
        <v>0</v>
      </c>
      <c r="I33" s="151">
        <f>(((INDEX(Assumptions!$B$8:$B$46,MATCH("Total King",Assumptions!$A$8:$A$46,0)))*((I$28+I$29)*INDEX(Assumptions!$E$96:$E$101,MATCH('Cash flow forecast'!$B33,Assumptions!$A$96:$A$101,0)))))*(1+Assumptions!$B$103)</f>
        <v>3442.5</v>
      </c>
      <c r="J33" s="151">
        <f>(((INDEX(Assumptions!$B$8:$B$46,MATCH("Total King",Assumptions!$A$8:$A$46,0)))*((J$28+J$29)*INDEX(Assumptions!$E$96:$E$101,MATCH('Cash flow forecast'!$B33,Assumptions!$A$96:$A$101,0)))))*(1+Assumptions!$B$103)</f>
        <v>0</v>
      </c>
      <c r="K33" s="151">
        <f>(((INDEX(Assumptions!$B$8:$B$46,MATCH("Total King",Assumptions!$A$8:$A$46,0)))*((K$28+K$29)*INDEX(Assumptions!$E$96:$E$101,MATCH('Cash flow forecast'!$B33,Assumptions!$A$96:$A$101,0)))))*(1+Assumptions!$B$103)</f>
        <v>3442.5</v>
      </c>
      <c r="L33" s="151">
        <f>(((INDEX(Assumptions!$B$8:$B$46,MATCH("Total King",Assumptions!$A$8:$A$46,0)))*((L$28+L$29)*INDEX(Assumptions!$E$96:$E$101,MATCH('Cash flow forecast'!$B33,Assumptions!$A$96:$A$101,0)))))*(1+Assumptions!$B$103)</f>
        <v>0</v>
      </c>
      <c r="M33" s="151">
        <f>(((INDEX(Assumptions!$B$8:$B$46,MATCH("Total King",Assumptions!$A$8:$A$46,0)))*((M$28+M$29)*INDEX(Assumptions!$E$96:$E$101,MATCH('Cash flow forecast'!$B33,Assumptions!$A$96:$A$101,0)))))*(1+Assumptions!$B$103)</f>
        <v>0</v>
      </c>
      <c r="N33" s="152">
        <f>(((INDEX(Assumptions!$B$8:$B$46,MATCH("Total King",Assumptions!$A$8:$A$46,0)))*((N$28+N$29)*INDEX(Assumptions!$E$96:$E$101,MATCH('Cash flow forecast'!$B33,Assumptions!$A$96:$A$101,0)))))*(1+Assumptions!$B$103)</f>
        <v>0</v>
      </c>
      <c r="O33" s="150">
        <f>(((INDEX(Assumptions!$B$8:$B$46,MATCH("Total King",Assumptions!$A$8:$A$46,0)))*((O$28+O$29)*INDEX(Assumptions!$E$96:$E$101,MATCH('Cash flow forecast'!$B33,Assumptions!$A$96:$A$101,0)))))*(1+Assumptions!$B$103)</f>
        <v>3442.5</v>
      </c>
      <c r="P33" s="151">
        <f>(((INDEX(Assumptions!$B$8:$B$46,MATCH("Total King",Assumptions!$A$8:$A$46,0)))*((P$28+P$29)*INDEX(Assumptions!$E$96:$E$101,MATCH('Cash flow forecast'!$B33,Assumptions!$A$96:$A$101,0)))))*(1+Assumptions!$B$103)</f>
        <v>0</v>
      </c>
      <c r="Q33" s="151">
        <f>(((INDEX(Assumptions!$B$8:$B$46,MATCH("Total King",Assumptions!$A$8:$A$46,0)))*((Q$28+Q$29)*INDEX(Assumptions!$E$96:$E$101,MATCH('Cash flow forecast'!$B33,Assumptions!$A$96:$A$101,0)))))*(1+Assumptions!$B$103)</f>
        <v>3442.5</v>
      </c>
      <c r="R33" s="151">
        <f>(((INDEX(Assumptions!$B$8:$B$46,MATCH("Total King",Assumptions!$A$8:$A$46,0)))*((R$28+R$29)*INDEX(Assumptions!$E$96:$E$101,MATCH('Cash flow forecast'!$B33,Assumptions!$A$96:$A$101,0)))))*(1+Assumptions!$B$103)</f>
        <v>0</v>
      </c>
      <c r="S33" s="151">
        <f>(((INDEX(Assumptions!$B$8:$B$46,MATCH("Total King",Assumptions!$A$8:$A$46,0)))*((S$28+S$29)*INDEX(Assumptions!$E$96:$E$101,MATCH('Cash flow forecast'!$B33,Assumptions!$A$96:$A$101,0)))))*(1+Assumptions!$B$103)</f>
        <v>0</v>
      </c>
      <c r="T33" s="151">
        <f>(((INDEX(Assumptions!$B$8:$B$46,MATCH("Total King",Assumptions!$A$8:$A$46,0)))*((T$28+T$29)*INDEX(Assumptions!$E$96:$E$101,MATCH('Cash flow forecast'!$B33,Assumptions!$A$96:$A$101,0)))))*(1+Assumptions!$B$103)</f>
        <v>0</v>
      </c>
      <c r="U33" s="151">
        <f>(((INDEX(Assumptions!$B$8:$B$46,MATCH("Total King",Assumptions!$A$8:$A$46,0)))*((U$28+U$29)*INDEX(Assumptions!$E$96:$E$101,MATCH('Cash flow forecast'!$B33,Assumptions!$A$96:$A$101,0)))))*(1+Assumptions!$B$103)</f>
        <v>3442.5</v>
      </c>
      <c r="V33" s="151">
        <f>(((INDEX(Assumptions!$B$8:$B$46,MATCH("Total King",Assumptions!$A$8:$A$46,0)))*((V$28+V$29)*INDEX(Assumptions!$E$96:$E$101,MATCH('Cash flow forecast'!$B33,Assumptions!$A$96:$A$101,0)))))*(1+Assumptions!$B$103)</f>
        <v>0</v>
      </c>
      <c r="W33" s="151">
        <f>(((INDEX(Assumptions!$B$8:$B$46,MATCH("Total King",Assumptions!$A$8:$A$46,0)))*((W$28+W$29)*INDEX(Assumptions!$E$96:$E$101,MATCH('Cash flow forecast'!$B33,Assumptions!$A$96:$A$101,0)))))*(1+Assumptions!$B$103)</f>
        <v>3442.5</v>
      </c>
      <c r="X33" s="151">
        <f>(((INDEX(Assumptions!$B$8:$B$46,MATCH("Total King",Assumptions!$A$8:$A$46,0)))*((X$28+X$29)*INDEX(Assumptions!$E$96:$E$101,MATCH('Cash flow forecast'!$B33,Assumptions!$A$96:$A$101,0)))))*(1+Assumptions!$B$103)</f>
        <v>3442.5</v>
      </c>
      <c r="Y33" s="151">
        <f>(((INDEX(Assumptions!$B$8:$B$46,MATCH("Total King",Assumptions!$A$8:$A$46,0)))*((Y$28+Y$29)*INDEX(Assumptions!$E$96:$E$101,MATCH('Cash flow forecast'!$B33,Assumptions!$A$96:$A$101,0)))))*(1+Assumptions!$B$103)</f>
        <v>0</v>
      </c>
      <c r="Z33" s="152">
        <f>(((INDEX(Assumptions!$B$8:$B$46,MATCH("Total King",Assumptions!$A$8:$A$46,0)))*((Z$28+Z$29)*INDEX(Assumptions!$E$96:$E$101,MATCH('Cash flow forecast'!$B33,Assumptions!$A$96:$A$101,0)))))*(1+Assumptions!$B$103)</f>
        <v>0</v>
      </c>
      <c r="AA33" s="150">
        <f t="shared" si="48"/>
        <v>3825</v>
      </c>
      <c r="AB33" s="151">
        <f t="shared" si="48"/>
        <v>3442.5</v>
      </c>
      <c r="AC33" s="151">
        <f t="shared" si="48"/>
        <v>3442.5</v>
      </c>
      <c r="AD33" s="152">
        <f t="shared" si="48"/>
        <v>3442.5</v>
      </c>
      <c r="AE33" s="154">
        <f t="shared" si="6"/>
        <v>14152.5</v>
      </c>
      <c r="AF33" s="150">
        <f t="shared" si="50"/>
        <v>3442.5</v>
      </c>
      <c r="AG33" s="151">
        <f t="shared" si="49"/>
        <v>3442.5</v>
      </c>
      <c r="AH33" s="151">
        <f t="shared" si="49"/>
        <v>3442.5</v>
      </c>
      <c r="AI33" s="152">
        <f t="shared" si="49"/>
        <v>6885</v>
      </c>
      <c r="AJ33" s="155">
        <f t="shared" si="51"/>
        <v>17212.5</v>
      </c>
      <c r="AK33" s="165">
        <f t="shared" si="52"/>
        <v>2.2705656975616419E-2</v>
      </c>
    </row>
    <row r="34" spans="2:37" ht="22.15" hidden="1" customHeight="1" outlineLevel="1" x14ac:dyDescent="0.25">
      <c r="B34" s="91" t="s">
        <v>49</v>
      </c>
      <c r="C34" s="150">
        <f>((INDEX(Assumptions!$B$8:$B$46,MATCH("Total Universal",Assumptions!$A$8:$A$46,0)))*((C$28+C$29)*INDEX(Assumptions!$E$96:$E$101,MATCH('Cash flow forecast'!$B34,Assumptions!$A$96:$A$101,0))))</f>
        <v>0</v>
      </c>
      <c r="D34" s="151">
        <f>(((INDEX(Assumptions!$B$8:$B$46,MATCH("Total Universal",Assumptions!$A$8:$A$46,0)))*((D$28+D$29)*INDEX(Assumptions!$E$96:$E$101,MATCH('Cash flow forecast'!$B34,Assumptions!$A$96:$A$101,0)))))*(1+Assumptions!$B$103)</f>
        <v>0</v>
      </c>
      <c r="E34" s="151">
        <f>(((INDEX(Assumptions!$B$8:$B$46,MATCH("Total Universal",Assumptions!$A$8:$A$46,0)))*((E$28+E$29)*INDEX(Assumptions!$E$96:$E$101,MATCH('Cash flow forecast'!$B34,Assumptions!$A$96:$A$101,0)))))*(1+Assumptions!$B$103)</f>
        <v>0</v>
      </c>
      <c r="F34" s="151">
        <f>(((INDEX(Assumptions!$B$8:$B$46,MATCH("Total Universal",Assumptions!$A$8:$A$46,0)))*((F$28+F$29)*INDEX(Assumptions!$E$96:$E$101,MATCH('Cash flow forecast'!$B34,Assumptions!$A$96:$A$101,0)))))*(1+Assumptions!$B$103)</f>
        <v>0</v>
      </c>
      <c r="G34" s="151">
        <f>(((INDEX(Assumptions!$B$8:$B$46,MATCH("Total Universal",Assumptions!$A$8:$A$46,0)))*((G$28+G$29)*INDEX(Assumptions!$E$96:$E$101,MATCH('Cash flow forecast'!$B34,Assumptions!$A$96:$A$101,0)))))*(1+Assumptions!$B$103)</f>
        <v>0</v>
      </c>
      <c r="H34" s="151">
        <f>(((INDEX(Assumptions!$B$8:$B$46,MATCH("Total Universal",Assumptions!$A$8:$A$46,0)))*((H$28+H$29)*INDEX(Assumptions!$E$96:$E$101,MATCH('Cash flow forecast'!$B34,Assumptions!$A$96:$A$101,0)))))*(1+Assumptions!$B$103)</f>
        <v>0</v>
      </c>
      <c r="I34" s="151">
        <f>(((INDEX(Assumptions!$B$8:$B$46,MATCH("Total Universal",Assumptions!$A$8:$A$46,0)))*((I$28+I$29)*INDEX(Assumptions!$E$96:$E$101,MATCH('Cash flow forecast'!$B34,Assumptions!$A$96:$A$101,0)))))*(1+Assumptions!$B$103)</f>
        <v>0</v>
      </c>
      <c r="J34" s="151">
        <f>(((INDEX(Assumptions!$B$8:$B$46,MATCH("Total Universal",Assumptions!$A$8:$A$46,0)))*((J$28+J$29)*INDEX(Assumptions!$E$96:$E$101,MATCH('Cash flow forecast'!$B34,Assumptions!$A$96:$A$101,0)))))*(1+Assumptions!$B$103)</f>
        <v>0</v>
      </c>
      <c r="K34" s="151">
        <f>(((INDEX(Assumptions!$B$8:$B$46,MATCH("Total Universal",Assumptions!$A$8:$A$46,0)))*((K$28+K$29)*INDEX(Assumptions!$E$96:$E$101,MATCH('Cash flow forecast'!$B34,Assumptions!$A$96:$A$101,0)))))*(1+Assumptions!$B$103)</f>
        <v>0</v>
      </c>
      <c r="L34" s="151">
        <f>(((INDEX(Assumptions!$B$8:$B$46,MATCH("Total Universal",Assumptions!$A$8:$A$46,0)))*((L$28+L$29)*INDEX(Assumptions!$E$96:$E$101,MATCH('Cash flow forecast'!$B34,Assumptions!$A$96:$A$101,0)))))*(1+Assumptions!$B$103)</f>
        <v>0</v>
      </c>
      <c r="M34" s="151">
        <f>(((INDEX(Assumptions!$B$8:$B$46,MATCH("Total Universal",Assumptions!$A$8:$A$46,0)))*((M$28+M$29)*INDEX(Assumptions!$E$96:$E$101,MATCH('Cash flow forecast'!$B34,Assumptions!$A$96:$A$101,0)))))*(1+Assumptions!$B$103)</f>
        <v>0</v>
      </c>
      <c r="N34" s="152">
        <f>(((INDEX(Assumptions!$B$8:$B$46,MATCH("Total Universal",Assumptions!$A$8:$A$46,0)))*((N$28+N$29)*INDEX(Assumptions!$E$96:$E$101,MATCH('Cash flow forecast'!$B34,Assumptions!$A$96:$A$101,0)))))*(1+Assumptions!$B$103)</f>
        <v>0</v>
      </c>
      <c r="O34" s="150">
        <f>(((INDEX(Assumptions!$B$8:$B$46,MATCH("Total Universal",Assumptions!$A$8:$A$46,0)))*((O$28+O$29)*INDEX(Assumptions!$E$96:$E$101,MATCH('Cash flow forecast'!$B34,Assumptions!$A$96:$A$101,0)))))*(1+Assumptions!$B$103)</f>
        <v>0</v>
      </c>
      <c r="P34" s="151">
        <f>(((INDEX(Assumptions!$B$8:$B$46,MATCH("Total Universal",Assumptions!$A$8:$A$46,0)))*((P$28+P$29)*INDEX(Assumptions!$E$96:$E$101,MATCH('Cash flow forecast'!$B34,Assumptions!$A$96:$A$101,0)))))*(1+Assumptions!$B$103)</f>
        <v>0</v>
      </c>
      <c r="Q34" s="151">
        <f>(((INDEX(Assumptions!$B$8:$B$46,MATCH("Total Universal",Assumptions!$A$8:$A$46,0)))*((Q$28+Q$29)*INDEX(Assumptions!$E$96:$E$101,MATCH('Cash flow forecast'!$B34,Assumptions!$A$96:$A$101,0)))))*(1+Assumptions!$B$103)</f>
        <v>0</v>
      </c>
      <c r="R34" s="151">
        <f>(((INDEX(Assumptions!$B$8:$B$46,MATCH("Total Universal",Assumptions!$A$8:$A$46,0)))*((R$28+R$29)*INDEX(Assumptions!$E$96:$E$101,MATCH('Cash flow forecast'!$B34,Assumptions!$A$96:$A$101,0)))))*(1+Assumptions!$B$103)</f>
        <v>0</v>
      </c>
      <c r="S34" s="151">
        <f>(((INDEX(Assumptions!$B$8:$B$46,MATCH("Total Universal",Assumptions!$A$8:$A$46,0)))*((S$28+S$29)*INDEX(Assumptions!$E$96:$E$101,MATCH('Cash flow forecast'!$B34,Assumptions!$A$96:$A$101,0)))))*(1+Assumptions!$B$103)</f>
        <v>0</v>
      </c>
      <c r="T34" s="151">
        <f>(((INDEX(Assumptions!$B$8:$B$46,MATCH("Total Universal",Assumptions!$A$8:$A$46,0)))*((T$28+T$29)*INDEX(Assumptions!$E$96:$E$101,MATCH('Cash flow forecast'!$B34,Assumptions!$A$96:$A$101,0)))))*(1+Assumptions!$B$103)</f>
        <v>0</v>
      </c>
      <c r="U34" s="151">
        <f>(((INDEX(Assumptions!$B$8:$B$46,MATCH("Total Universal",Assumptions!$A$8:$A$46,0)))*((U$28+U$29)*INDEX(Assumptions!$E$96:$E$101,MATCH('Cash flow forecast'!$B34,Assumptions!$A$96:$A$101,0)))))*(1+Assumptions!$B$103)</f>
        <v>0</v>
      </c>
      <c r="V34" s="151">
        <f>(((INDEX(Assumptions!$B$8:$B$46,MATCH("Total Universal",Assumptions!$A$8:$A$46,0)))*((V$28+V$29)*INDEX(Assumptions!$E$96:$E$101,MATCH('Cash flow forecast'!$B34,Assumptions!$A$96:$A$101,0)))))*(1+Assumptions!$B$103)</f>
        <v>0</v>
      </c>
      <c r="W34" s="151">
        <f>(((INDEX(Assumptions!$B$8:$B$46,MATCH("Total Universal",Assumptions!$A$8:$A$46,0)))*((W$28+W$29)*INDEX(Assumptions!$E$96:$E$101,MATCH('Cash flow forecast'!$B34,Assumptions!$A$96:$A$101,0)))))*(1+Assumptions!$B$103)</f>
        <v>0</v>
      </c>
      <c r="X34" s="151">
        <f>(((INDEX(Assumptions!$B$8:$B$46,MATCH("Total Universal",Assumptions!$A$8:$A$46,0)))*((X$28+X$29)*INDEX(Assumptions!$E$96:$E$101,MATCH('Cash flow forecast'!$B34,Assumptions!$A$96:$A$101,0)))))*(1+Assumptions!$B$103)</f>
        <v>0</v>
      </c>
      <c r="Y34" s="151">
        <f>(((INDEX(Assumptions!$B$8:$B$46,MATCH("Total Universal",Assumptions!$A$8:$A$46,0)))*((Y$28+Y$29)*INDEX(Assumptions!$E$96:$E$101,MATCH('Cash flow forecast'!$B34,Assumptions!$A$96:$A$101,0)))))*(1+Assumptions!$B$103)</f>
        <v>0</v>
      </c>
      <c r="Z34" s="152">
        <f>(((INDEX(Assumptions!$B$8:$B$46,MATCH("Total Universal",Assumptions!$A$8:$A$46,0)))*((Z$28+Z$29)*INDEX(Assumptions!$E$96:$E$101,MATCH('Cash flow forecast'!$B34,Assumptions!$A$96:$A$101,0)))))*(1+Assumptions!$B$103)</f>
        <v>0</v>
      </c>
      <c r="AA34" s="150">
        <f t="shared" si="48"/>
        <v>0</v>
      </c>
      <c r="AB34" s="151">
        <f t="shared" si="48"/>
        <v>0</v>
      </c>
      <c r="AC34" s="151">
        <f t="shared" si="48"/>
        <v>0</v>
      </c>
      <c r="AD34" s="152">
        <f t="shared" si="48"/>
        <v>0</v>
      </c>
      <c r="AE34" s="154">
        <f t="shared" si="6"/>
        <v>0</v>
      </c>
      <c r="AF34" s="150">
        <f t="shared" si="50"/>
        <v>0</v>
      </c>
      <c r="AG34" s="151">
        <f t="shared" si="49"/>
        <v>0</v>
      </c>
      <c r="AH34" s="151">
        <f t="shared" si="49"/>
        <v>0</v>
      </c>
      <c r="AI34" s="152">
        <f t="shared" si="49"/>
        <v>0</v>
      </c>
      <c r="AJ34" s="155">
        <f t="shared" si="51"/>
        <v>0</v>
      </c>
      <c r="AK34" s="165">
        <f t="shared" si="52"/>
        <v>0</v>
      </c>
    </row>
    <row r="35" spans="2:37" ht="22.15" hidden="1" customHeight="1" outlineLevel="1" x14ac:dyDescent="0.25">
      <c r="B35" s="96" t="s">
        <v>0</v>
      </c>
      <c r="C35" s="156">
        <f>SUM(C30:C34)</f>
        <v>29280.375</v>
      </c>
      <c r="D35" s="157">
        <f t="shared" ref="D35:Z35" si="53">SUM(D30:D34)</f>
        <v>0</v>
      </c>
      <c r="E35" s="157">
        <f t="shared" si="53"/>
        <v>26352.337500000001</v>
      </c>
      <c r="F35" s="157">
        <f t="shared" si="53"/>
        <v>0</v>
      </c>
      <c r="G35" s="157">
        <f t="shared" si="53"/>
        <v>0</v>
      </c>
      <c r="H35" s="157">
        <f t="shared" si="53"/>
        <v>0</v>
      </c>
      <c r="I35" s="157">
        <f t="shared" si="53"/>
        <v>26352.337500000001</v>
      </c>
      <c r="J35" s="157">
        <f t="shared" si="53"/>
        <v>0</v>
      </c>
      <c r="K35" s="157">
        <f t="shared" si="53"/>
        <v>26352.337500000001</v>
      </c>
      <c r="L35" s="157">
        <f t="shared" si="53"/>
        <v>0</v>
      </c>
      <c r="M35" s="157">
        <f t="shared" si="53"/>
        <v>0</v>
      </c>
      <c r="N35" s="158">
        <f t="shared" si="53"/>
        <v>0</v>
      </c>
      <c r="O35" s="156">
        <f t="shared" si="53"/>
        <v>26352.337500000001</v>
      </c>
      <c r="P35" s="157">
        <f t="shared" si="53"/>
        <v>0</v>
      </c>
      <c r="Q35" s="157">
        <f t="shared" si="53"/>
        <v>26352.337500000001</v>
      </c>
      <c r="R35" s="157">
        <f t="shared" si="53"/>
        <v>0</v>
      </c>
      <c r="S35" s="157">
        <f t="shared" si="53"/>
        <v>0</v>
      </c>
      <c r="T35" s="157">
        <f t="shared" si="53"/>
        <v>0</v>
      </c>
      <c r="U35" s="157">
        <f t="shared" si="53"/>
        <v>26352.337500000001</v>
      </c>
      <c r="V35" s="157">
        <f t="shared" si="53"/>
        <v>0</v>
      </c>
      <c r="W35" s="157">
        <f t="shared" si="53"/>
        <v>26352.337500000001</v>
      </c>
      <c r="X35" s="157">
        <f t="shared" si="53"/>
        <v>26352.337500000001</v>
      </c>
      <c r="Y35" s="157">
        <f t="shared" si="53"/>
        <v>0</v>
      </c>
      <c r="Z35" s="158">
        <f t="shared" si="53"/>
        <v>0</v>
      </c>
      <c r="AA35" s="156">
        <f>SUM(AA30:AA34)</f>
        <v>29280.375</v>
      </c>
      <c r="AB35" s="157">
        <f t="shared" ref="AB35" si="54">SUM(AB30:AB34)</f>
        <v>26352.337500000001</v>
      </c>
      <c r="AC35" s="157">
        <f t="shared" ref="AC35" si="55">SUM(AC30:AC34)</f>
        <v>26352.337500000001</v>
      </c>
      <c r="AD35" s="158">
        <f t="shared" ref="AD35" si="56">SUM(AD30:AD34)</f>
        <v>26352.337500000001</v>
      </c>
      <c r="AE35" s="159">
        <f t="shared" si="6"/>
        <v>108337.38750000001</v>
      </c>
      <c r="AF35" s="156">
        <f>SUM(AF30:AF34)</f>
        <v>26352.337500000001</v>
      </c>
      <c r="AG35" s="157">
        <f t="shared" ref="AG35" si="57">SUM(AG30:AG34)</f>
        <v>26352.337500000001</v>
      </c>
      <c r="AH35" s="157">
        <f t="shared" ref="AH35" si="58">SUM(AH30:AH34)</f>
        <v>26352.337500000001</v>
      </c>
      <c r="AI35" s="158">
        <f t="shared" ref="AI35" si="59">SUM(AI30:AI34)</f>
        <v>52704.675000000003</v>
      </c>
      <c r="AJ35" s="156">
        <f t="shared" si="51"/>
        <v>131761.6875</v>
      </c>
      <c r="AK35" s="166">
        <f t="shared" si="52"/>
        <v>0.17381180414834368</v>
      </c>
    </row>
    <row r="36" spans="2:37" ht="22.15" hidden="1" customHeight="1" outlineLevel="1" x14ac:dyDescent="0.25">
      <c r="B36" s="1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2:37" ht="22.15" customHeight="1" collapsed="1" thickBot="1" x14ac:dyDescent="0.3">
      <c r="B37" s="96" t="s">
        <v>58</v>
      </c>
      <c r="C37" s="167">
        <f t="shared" ref="C37:AJ37" si="60">C17+C26+C35</f>
        <v>204962.625</v>
      </c>
      <c r="D37" s="168">
        <f t="shared" si="60"/>
        <v>0</v>
      </c>
      <c r="E37" s="168">
        <f t="shared" si="60"/>
        <v>105409.35</v>
      </c>
      <c r="F37" s="168">
        <f t="shared" si="60"/>
        <v>0</v>
      </c>
      <c r="G37" s="168">
        <f t="shared" si="60"/>
        <v>0</v>
      </c>
      <c r="H37" s="168">
        <f t="shared" si="60"/>
        <v>0</v>
      </c>
      <c r="I37" s="168">
        <f t="shared" si="60"/>
        <v>184466.36249999999</v>
      </c>
      <c r="J37" s="168">
        <f t="shared" si="60"/>
        <v>0</v>
      </c>
      <c r="K37" s="168">
        <f t="shared" si="60"/>
        <v>105409.35</v>
      </c>
      <c r="L37" s="168">
        <f t="shared" si="60"/>
        <v>0</v>
      </c>
      <c r="M37" s="168">
        <f t="shared" si="60"/>
        <v>0</v>
      </c>
      <c r="N37" s="169">
        <f t="shared" si="60"/>
        <v>0</v>
      </c>
      <c r="O37" s="167">
        <f t="shared" si="60"/>
        <v>184466.36249999999</v>
      </c>
      <c r="P37" s="168">
        <f t="shared" si="60"/>
        <v>0</v>
      </c>
      <c r="Q37" s="168">
        <f t="shared" si="60"/>
        <v>105409.35</v>
      </c>
      <c r="R37" s="168">
        <f t="shared" si="60"/>
        <v>0</v>
      </c>
      <c r="S37" s="168">
        <f t="shared" si="60"/>
        <v>0</v>
      </c>
      <c r="T37" s="168">
        <f t="shared" si="60"/>
        <v>0</v>
      </c>
      <c r="U37" s="168">
        <f t="shared" si="60"/>
        <v>184466.36249999999</v>
      </c>
      <c r="V37" s="168">
        <f t="shared" si="60"/>
        <v>0</v>
      </c>
      <c r="W37" s="168">
        <f t="shared" si="60"/>
        <v>105409.35</v>
      </c>
      <c r="X37" s="168">
        <f t="shared" si="60"/>
        <v>158114.02499999999</v>
      </c>
      <c r="Y37" s="168">
        <f t="shared" si="60"/>
        <v>0</v>
      </c>
      <c r="Z37" s="169">
        <f t="shared" si="60"/>
        <v>0</v>
      </c>
      <c r="AA37" s="167">
        <f t="shared" si="60"/>
        <v>204962.625</v>
      </c>
      <c r="AB37" s="168">
        <f t="shared" si="60"/>
        <v>105409.35</v>
      </c>
      <c r="AC37" s="168">
        <f t="shared" si="60"/>
        <v>184466.36249999999</v>
      </c>
      <c r="AD37" s="169">
        <f t="shared" si="60"/>
        <v>105409.35</v>
      </c>
      <c r="AE37" s="170">
        <f t="shared" si="60"/>
        <v>600247.6875</v>
      </c>
      <c r="AF37" s="167">
        <f t="shared" si="60"/>
        <v>184466.36249999999</v>
      </c>
      <c r="AG37" s="168">
        <f t="shared" si="60"/>
        <v>105409.35</v>
      </c>
      <c r="AH37" s="168">
        <f t="shared" si="60"/>
        <v>184466.36249999999</v>
      </c>
      <c r="AI37" s="169">
        <f t="shared" si="60"/>
        <v>263523.375</v>
      </c>
      <c r="AJ37" s="170">
        <f t="shared" si="60"/>
        <v>737865.45</v>
      </c>
      <c r="AK37" s="61">
        <f t="shared" si="52"/>
        <v>0.9686828597047934</v>
      </c>
    </row>
    <row r="38" spans="2:37" ht="22.15" customHeight="1" thickTop="1" x14ac:dyDescent="0.25">
      <c r="B38" s="89" t="s">
        <v>59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6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6"/>
      <c r="AB38" s="65"/>
      <c r="AC38" s="65"/>
      <c r="AD38" s="65"/>
      <c r="AE38" s="65"/>
      <c r="AF38" s="65"/>
      <c r="AG38" s="65"/>
      <c r="AH38" s="65"/>
      <c r="AI38" s="65"/>
      <c r="AJ38" s="65"/>
    </row>
    <row r="39" spans="2:37" ht="22.15" hidden="1" customHeight="1" outlineLevel="1" x14ac:dyDescent="0.25">
      <c r="B39" s="91" t="s">
        <v>45</v>
      </c>
      <c r="C39" s="144">
        <f>IF(C$5&lt;Assumptions!$B$106,0,INDEX(Assumptions!$B$108:$B$112,MATCH('Cash flow forecast'!$B39,Assumptions!$A$108:$A$112,0))*(INDEX(Assumptions!$C$4:$C$46,MATCH("Total Twin",Assumptions!$A$4:$A$46,0))*(1+INDEX(Assumptions!$E$108:$E$112,MATCH('Cash flow forecast'!$B39,Assumptions!$A$108:$A$112,0)))))</f>
        <v>0</v>
      </c>
      <c r="D39" s="145">
        <f>IF(D$5&lt;Assumptions!$B$106,0,IF('Cash flow forecast'!D$5=Assumptions!$B$106,INDEX(Assumptions!$B$108:$B$112,MATCH('Cash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forecast'!$B39,Assumptions!$A$108:$A$112,0)))),(C39*(1+INDEX(Assumptions!$C$108:$C$112,MATCH('Cash flow forecast'!$B39,Assumptions!$A$108:$A$112,0))/12))*(1+INDEX(Assumptions!$D$108:$D$112,MATCH('Cash flow forecast'!$B39,Assumptions!$A$108:$A$112,0))/12)))</f>
        <v>0</v>
      </c>
      <c r="E39" s="145">
        <f>IF(E$5&lt;Assumptions!$B$106,0,IF('Cash flow forecast'!E$5=Assumptions!$B$106,INDEX(Assumptions!$B$108:$B$112,MATCH('Cash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forecast'!$B39,Assumptions!$A$108:$A$112,0)))),(D39*(1+INDEX(Assumptions!$C$108:$C$112,MATCH('Cash flow forecast'!$B39,Assumptions!$A$108:$A$112,0))/12))*(1+INDEX(Assumptions!$D$108:$D$112,MATCH('Cash flow forecast'!$B39,Assumptions!$A$108:$A$112,0))/12)))</f>
        <v>0</v>
      </c>
      <c r="F39" s="145">
        <f>IF(F$5&lt;Assumptions!$B$106,0,IF('Cash flow forecast'!F$5=Assumptions!$B$106,INDEX(Assumptions!$B$108:$B$112,MATCH('Cash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forecast'!$B39,Assumptions!$A$108:$A$112,0)))),(E39*(1+INDEX(Assumptions!$C$108:$C$112,MATCH('Cash flow forecast'!$B39,Assumptions!$A$108:$A$112,0))/12))*(1+INDEX(Assumptions!$D$108:$D$112,MATCH('Cash flow forecast'!$B39,Assumptions!$A$108:$A$112,0))/12)))</f>
        <v>164.43</v>
      </c>
      <c r="G39" s="145">
        <f>IF(G$5&lt;Assumptions!$B$106,0,IF('Cash flow forecast'!G$5=Assumptions!$B$106,INDEX(Assumptions!$B$108:$B$112,MATCH('Cash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forecast'!$B39,Assumptions!$A$108:$A$112,0)))),(F39*(1+INDEX(Assumptions!$C$108:$C$112,MATCH('Cash flow forecast'!$B39,Assumptions!$A$108:$A$112,0))/12))*(1+INDEX(Assumptions!$D$108:$D$112,MATCH('Cash flow forecast'!$B39,Assumptions!$A$108:$A$112,0))/12)))</f>
        <v>165.52391624999998</v>
      </c>
      <c r="H39" s="145">
        <f>IF(H$5&lt;Assumptions!$B$106,0,IF('Cash flow forecast'!H$5=Assumptions!$B$106,INDEX(Assumptions!$B$108:$B$112,MATCH('Cash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forecast'!$B39,Assumptions!$A$108:$A$112,0)))),(G39*(1+INDEX(Assumptions!$C$108:$C$112,MATCH('Cash flow forecast'!$B39,Assumptions!$A$108:$A$112,0))/12))*(1+INDEX(Assumptions!$D$108:$D$112,MATCH('Cash flow forecast'!$B39,Assumptions!$A$108:$A$112,0))/12)))</f>
        <v>166.62511008171873</v>
      </c>
      <c r="I39" s="145">
        <f>IF(I$5&lt;Assumptions!$B$106,0,IF('Cash flow forecast'!I$5=Assumptions!$B$106,INDEX(Assumptions!$B$108:$B$112,MATCH('Cash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forecast'!$B39,Assumptions!$A$108:$A$112,0)))),(H39*(1+INDEX(Assumptions!$C$108:$C$112,MATCH('Cash flow forecast'!$B39,Assumptions!$A$108:$A$112,0))/12))*(1+INDEX(Assumptions!$D$108:$D$112,MATCH('Cash flow forecast'!$B39,Assumptions!$A$108:$A$112,0))/12)))</f>
        <v>167.73362991129017</v>
      </c>
      <c r="J39" s="145">
        <f>IF(J$5&lt;Assumptions!$B$106,0,IF('Cash flow forecast'!J$5=Assumptions!$B$106,INDEX(Assumptions!$B$108:$B$112,MATCH('Cash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forecast'!$B39,Assumptions!$A$108:$A$112,0)))),(I39*(1+INDEX(Assumptions!$C$108:$C$112,MATCH('Cash flow forecast'!$B39,Assumptions!$A$108:$A$112,0))/12))*(1+INDEX(Assumptions!$D$108:$D$112,MATCH('Cash flow forecast'!$B39,Assumptions!$A$108:$A$112,0))/12)))</f>
        <v>168.84952447694997</v>
      </c>
      <c r="K39" s="145">
        <f>IF(K$5&lt;Assumptions!$B$106,0,IF('Cash flow forecast'!K$5=Assumptions!$B$106,INDEX(Assumptions!$B$108:$B$112,MATCH('Cash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forecast'!$B39,Assumptions!$A$108:$A$112,0)))),(J39*(1+INDEX(Assumptions!$C$108:$C$112,MATCH('Cash flow forecast'!$B39,Assumptions!$A$108:$A$112,0))/12))*(1+INDEX(Assumptions!$D$108:$D$112,MATCH('Cash flow forecast'!$B39,Assumptions!$A$108:$A$112,0))/12)))</f>
        <v>169.97284284117856</v>
      </c>
      <c r="L39" s="145">
        <f>IF(L$5&lt;Assumptions!$B$106,0,IF('Cash flow forecast'!L$5=Assumptions!$B$106,INDEX(Assumptions!$B$108:$B$112,MATCH('Cash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forecast'!$B39,Assumptions!$A$108:$A$112,0)))),(K39*(1+INDEX(Assumptions!$C$108:$C$112,MATCH('Cash flow forecast'!$B39,Assumptions!$A$108:$A$112,0))/12))*(1+INDEX(Assumptions!$D$108:$D$112,MATCH('Cash flow forecast'!$B39,Assumptions!$A$108:$A$112,0))/12)))</f>
        <v>171.10363439285805</v>
      </c>
      <c r="M39" s="145">
        <f>IF(M$5&lt;Assumptions!$B$106,0,IF('Cash flow forecast'!M$5=Assumptions!$B$106,INDEX(Assumptions!$B$108:$B$112,MATCH('Cash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forecast'!$B39,Assumptions!$A$108:$A$112,0)))),(L39*(1+INDEX(Assumptions!$C$108:$C$112,MATCH('Cash flow forecast'!$B39,Assumptions!$A$108:$A$112,0))/12))*(1+INDEX(Assumptions!$D$108:$D$112,MATCH('Cash flow forecast'!$B39,Assumptions!$A$108:$A$112,0))/12)))</f>
        <v>172.24194884944387</v>
      </c>
      <c r="N39" s="146">
        <f>IF(N$5&lt;Assumptions!$B$106,0,IF('Cash flow forecast'!N$5=Assumptions!$B$106,INDEX(Assumptions!$B$108:$B$112,MATCH('Cash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forecast'!$B39,Assumptions!$A$108:$A$112,0)))),(M39*(1+INDEX(Assumptions!$C$108:$C$112,MATCH('Cash flow forecast'!$B39,Assumptions!$A$108:$A$112,0))/12))*(1+INDEX(Assumptions!$D$108:$D$112,MATCH('Cash flow forecast'!$B39,Assumptions!$A$108:$A$112,0))/12)))</f>
        <v>173.38783625915056</v>
      </c>
      <c r="O39" s="144">
        <f>IF(O$5&lt;Assumptions!$B$106,0,IF('Cash flow forecast'!O$5=Assumptions!$B$106,INDEX(Assumptions!$B$108:$B$112,MATCH('Cash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forecast'!$B39,Assumptions!$A$108:$A$112,0)))),(N39*(1+INDEX(Assumptions!$C$108:$C$112,MATCH('Cash flow forecast'!$B39,Assumptions!$A$108:$A$112,0))/12))*(1+INDEX(Assumptions!$D$108:$D$112,MATCH('Cash flow forecast'!$B39,Assumptions!$A$108:$A$112,0))/12)))</f>
        <v>174.5413470031524</v>
      </c>
      <c r="P39" s="145">
        <f>IF(P$5&lt;Assumptions!$B$106,0,IF('Cash flow forecast'!P$5=Assumptions!$B$106,INDEX(Assumptions!$B$108:$B$112,MATCH('Cash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forecast'!$B39,Assumptions!$A$108:$A$112,0)))),(O39*(1+INDEX(Assumptions!$C$108:$C$112,MATCH('Cash flow forecast'!$B39,Assumptions!$A$108:$A$112,0))/12))*(1+INDEX(Assumptions!$D$108:$D$112,MATCH('Cash flow forecast'!$B39,Assumptions!$A$108:$A$112,0))/12)))</f>
        <v>175.70253179779834</v>
      </c>
      <c r="Q39" s="145">
        <f>IF(Q$5&lt;Assumptions!$B$106,0,IF('Cash flow forecast'!Q$5=Assumptions!$B$106,INDEX(Assumptions!$B$108:$B$112,MATCH('Cash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forecast'!$B39,Assumptions!$A$108:$A$112,0)))),(P39*(1+INDEX(Assumptions!$C$108:$C$112,MATCH('Cash flow forecast'!$B39,Assumptions!$A$108:$A$112,0))/12))*(1+INDEX(Assumptions!$D$108:$D$112,MATCH('Cash flow forecast'!$B39,Assumptions!$A$108:$A$112,0))/12)))</f>
        <v>176.87144169684203</v>
      </c>
      <c r="R39" s="145">
        <f>IF(R$5&lt;Assumptions!$B$106,0,IF('Cash flow forecast'!R$5=Assumptions!$B$106,INDEX(Assumptions!$B$108:$B$112,MATCH('Cash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forecast'!$B39,Assumptions!$A$108:$A$112,0)))),(Q39*(1+INDEX(Assumptions!$C$108:$C$112,MATCH('Cash flow forecast'!$B39,Assumptions!$A$108:$A$112,0))/12))*(1+INDEX(Assumptions!$D$108:$D$112,MATCH('Cash flow forecast'!$B39,Assumptions!$A$108:$A$112,0))/12)))</f>
        <v>178.04812809368627</v>
      </c>
      <c r="S39" s="145">
        <f>IF(S$5&lt;Assumptions!$B$106,0,IF('Cash flow forecast'!S$5=Assumptions!$B$106,INDEX(Assumptions!$B$108:$B$112,MATCH('Cash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forecast'!$B39,Assumptions!$A$108:$A$112,0)))),(R39*(1+INDEX(Assumptions!$C$108:$C$112,MATCH('Cash flow forecast'!$B39,Assumptions!$A$108:$A$112,0))/12))*(1+INDEX(Assumptions!$D$108:$D$112,MATCH('Cash flow forecast'!$B39,Assumptions!$A$108:$A$112,0))/12)))</f>
        <v>179.23264272364287</v>
      </c>
      <c r="T39" s="145">
        <f>IF(T$5&lt;Assumptions!$B$106,0,IF('Cash flow forecast'!T$5=Assumptions!$B$106,INDEX(Assumptions!$B$108:$B$112,MATCH('Cash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forecast'!$B39,Assumptions!$A$108:$A$112,0)))),(S39*(1+INDEX(Assumptions!$C$108:$C$112,MATCH('Cash flow forecast'!$B39,Assumptions!$A$108:$A$112,0))/12))*(1+INDEX(Assumptions!$D$108:$D$112,MATCH('Cash flow forecast'!$B39,Assumptions!$A$108:$A$112,0))/12)))</f>
        <v>180.42503766620709</v>
      </c>
      <c r="U39" s="145">
        <f>IF(U$5&lt;Assumptions!$B$106,0,IF('Cash flow forecast'!U$5=Assumptions!$B$106,INDEX(Assumptions!$B$108:$B$112,MATCH('Cash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forecast'!$B39,Assumptions!$A$108:$A$112,0)))),(T39*(1+INDEX(Assumptions!$C$108:$C$112,MATCH('Cash flow forecast'!$B39,Assumptions!$A$108:$A$112,0))/12))*(1+INDEX(Assumptions!$D$108:$D$112,MATCH('Cash flow forecast'!$B39,Assumptions!$A$108:$A$112,0))/12)))</f>
        <v>181.62536534734753</v>
      </c>
      <c r="V39" s="145">
        <f>IF(V$5&lt;Assumptions!$B$106,0,IF('Cash flow forecast'!V$5=Assumptions!$B$106,INDEX(Assumptions!$B$108:$B$112,MATCH('Cash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forecast'!$B39,Assumptions!$A$108:$A$112,0)))),(U39*(1+INDEX(Assumptions!$C$108:$C$112,MATCH('Cash flow forecast'!$B39,Assumptions!$A$108:$A$112,0))/12))*(1+INDEX(Assumptions!$D$108:$D$112,MATCH('Cash flow forecast'!$B39,Assumptions!$A$108:$A$112,0))/12)))</f>
        <v>182.83367854181111</v>
      </c>
      <c r="W39" s="145">
        <f>IF(W$5&lt;Assumptions!$B$106,0,IF('Cash flow forecast'!W$5=Assumptions!$B$106,INDEX(Assumptions!$B$108:$B$112,MATCH('Cash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forecast'!$B39,Assumptions!$A$108:$A$112,0)))),(V39*(1+INDEX(Assumptions!$C$108:$C$112,MATCH('Cash flow forecast'!$B39,Assumptions!$A$108:$A$112,0))/12))*(1+INDEX(Assumptions!$D$108:$D$112,MATCH('Cash flow forecast'!$B39,Assumptions!$A$108:$A$112,0))/12)))</f>
        <v>184.05003037544341</v>
      </c>
      <c r="X39" s="145">
        <f>IF(X$5&lt;Assumptions!$B$106,0,IF('Cash flow forecast'!X$5=Assumptions!$B$106,INDEX(Assumptions!$B$108:$B$112,MATCH('Cash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forecast'!$B39,Assumptions!$A$108:$A$112,0)))),(W39*(1+INDEX(Assumptions!$C$108:$C$112,MATCH('Cash flow forecast'!$B39,Assumptions!$A$108:$A$112,0))/12))*(1+INDEX(Assumptions!$D$108:$D$112,MATCH('Cash flow forecast'!$B39,Assumptions!$A$108:$A$112,0))/12)))</f>
        <v>185.27447432752447</v>
      </c>
      <c r="Y39" s="145">
        <f>IF(Y$5&lt;Assumptions!$B$106,0,IF('Cash flow forecast'!Y$5=Assumptions!$B$106,INDEX(Assumptions!$B$108:$B$112,MATCH('Cash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forecast'!$B39,Assumptions!$A$108:$A$112,0)))),(X39*(1+INDEX(Assumptions!$C$108:$C$112,MATCH('Cash flow forecast'!$B39,Assumptions!$A$108:$A$112,0))/12))*(1+INDEX(Assumptions!$D$108:$D$112,MATCH('Cash flow forecast'!$B39,Assumptions!$A$108:$A$112,0))/12)))</f>
        <v>186.50706423312008</v>
      </c>
      <c r="Z39" s="146">
        <f>IF(Z$5&lt;Assumptions!$B$106,0,IF('Cash flow forecast'!Z$5=Assumptions!$B$106,INDEX(Assumptions!$B$108:$B$112,MATCH('Cash flow forecast'!$B39,Assumptions!$A$108:$A$112,0))*(INDEX(Assumptions!$C$4:$C$46,MATCH("Total Twin",Assumptions!$A$4:$A$46,0))*(1+INDEX(Assumptions!$E$108:$E$112,MATCH('Cash flow forecast'!$B39,Assumptions!$A$108:$A$112,0)))),(Y39*(1+INDEX(Assumptions!$C$108:$C$112,MATCH('Cash flow forecast'!$B39,Assumptions!$A$108:$A$112,0))/12))*(1+INDEX(Assumptions!$D$108:$D$112,MATCH('Cash flow forecast'!$B39,Assumptions!$A$108:$A$112,0))/12)))</f>
        <v>187.74785428544874</v>
      </c>
      <c r="AA39" s="144">
        <f>SUMIFS($C39:$N39,$C$6:$N$6,AA$5)</f>
        <v>345.62978510859443</v>
      </c>
      <c r="AB39" s="145">
        <f>SUMIFS($C39:$N39,$C$6:$N$6,AB$5)</f>
        <v>164.43</v>
      </c>
      <c r="AC39" s="145">
        <f>SUMIFS($C39:$N39,$C$6:$N$6,AC$5)</f>
        <v>499.88265624300885</v>
      </c>
      <c r="AD39" s="146">
        <f>SUMIFS($C39:$N39,$C$6:$N$6,AD$5)</f>
        <v>509.92600171098655</v>
      </c>
      <c r="AE39" s="148">
        <f t="shared" ref="AE39:AE44" si="61">SUM($C39:$N39)</f>
        <v>1519.8684430625899</v>
      </c>
      <c r="AF39" s="144">
        <f>SUMIFS($O39:$Z39,$O$6:$Z$6,AF$5)</f>
        <v>548.79626552172124</v>
      </c>
      <c r="AG39" s="145">
        <f t="shared" ref="AG39:AI43" si="62">SUMIFS($O39:$Z39,$O$6:$Z$6,AG$5)</f>
        <v>530.62210158832659</v>
      </c>
      <c r="AH39" s="145">
        <f t="shared" si="62"/>
        <v>541.28304573719743</v>
      </c>
      <c r="AI39" s="146">
        <f t="shared" si="62"/>
        <v>552.15818324477902</v>
      </c>
      <c r="AJ39" s="148">
        <f>SUM($O39:$Z39)</f>
        <v>2172.8595960920243</v>
      </c>
      <c r="AK39" s="235">
        <f t="shared" ref="AK39:AK43" si="63">AVERAGE(AE39,AJ39)/AVERAGE($AE$58,$AJ$58)</f>
        <v>2.6732286357814537E-3</v>
      </c>
    </row>
    <row r="40" spans="2:37" ht="22.15" hidden="1" customHeight="1" outlineLevel="1" x14ac:dyDescent="0.25">
      <c r="B40" s="91" t="s">
        <v>46</v>
      </c>
      <c r="C40" s="150">
        <f>IF(C$5&lt;Assumptions!$B$106,0,INDEX(Assumptions!$B$108:$B$112,MATCH('Cash flow forecast'!$B40,Assumptions!$A$108:$A$112,0))*(INDEX(Assumptions!$C$4:$C$46,MATCH("Total Full",Assumptions!$A$4:$A$46,0))*(1+INDEX(Assumptions!$E$108:$E$112,MATCH('Cash flow forecast'!$B40,Assumptions!$A$108:$A$112,0)))))</f>
        <v>0</v>
      </c>
      <c r="D40" s="151">
        <f>IF(D$5&lt;Assumptions!$B$106,0,IF('Cash flow forecast'!D$5=Assumptions!$B$106,INDEX(Assumptions!$B$108:$B$112,MATCH('Cash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forecast'!$B40,Assumptions!$A$108:$A$112,0)))),(C40*(1+INDEX(Assumptions!$C$108:$C$112,MATCH('Cash flow forecast'!$B40,Assumptions!$A$108:$A$112,0))/12))*(1+INDEX(Assumptions!$D$108:$D$112,MATCH('Cash flow forecast'!$B40,Assumptions!$A$108:$A$112,0))/12)))</f>
        <v>0</v>
      </c>
      <c r="E40" s="151">
        <f>IF(E$5&lt;Assumptions!$B$106,0,IF('Cash flow forecast'!E$5=Assumptions!$B$106,INDEX(Assumptions!$B$108:$B$112,MATCH('Cash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forecast'!$B40,Assumptions!$A$108:$A$112,0)))),(D40*(1+INDEX(Assumptions!$C$108:$C$112,MATCH('Cash flow forecast'!$B40,Assumptions!$A$108:$A$112,0))/12))*(1+INDEX(Assumptions!$D$108:$D$112,MATCH('Cash flow forecast'!$B40,Assumptions!$A$108:$A$112,0))/12)))</f>
        <v>0</v>
      </c>
      <c r="F40" s="151">
        <f>IF(F$5&lt;Assumptions!$B$106,0,IF('Cash flow forecast'!F$5=Assumptions!$B$106,INDEX(Assumptions!$B$108:$B$112,MATCH('Cash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forecast'!$B40,Assumptions!$A$108:$A$112,0)))),(E40*(1+INDEX(Assumptions!$C$108:$C$112,MATCH('Cash flow forecast'!$B40,Assumptions!$A$108:$A$112,0))/12))*(1+INDEX(Assumptions!$D$108:$D$112,MATCH('Cash flow forecast'!$B40,Assumptions!$A$108:$A$112,0))/12)))</f>
        <v>136.26000000000002</v>
      </c>
      <c r="G40" s="151">
        <f>IF(G$5&lt;Assumptions!$B$106,0,IF('Cash flow forecast'!G$5=Assumptions!$B$106,INDEX(Assumptions!$B$108:$B$112,MATCH('Cash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forecast'!$B40,Assumptions!$A$108:$A$112,0)))),(F40*(1+INDEX(Assumptions!$C$108:$C$112,MATCH('Cash flow forecast'!$B40,Assumptions!$A$108:$A$112,0))/12))*(1+INDEX(Assumptions!$D$108:$D$112,MATCH('Cash flow forecast'!$B40,Assumptions!$A$108:$A$112,0))/12)))</f>
        <v>136.59970375</v>
      </c>
      <c r="H40" s="151">
        <f>IF(H$5&lt;Assumptions!$B$106,0,IF('Cash flow forecast'!H$5=Assumptions!$B$106,INDEX(Assumptions!$B$108:$B$112,MATCH('Cash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forecast'!$B40,Assumptions!$A$108:$A$112,0)))),(G40*(1+INDEX(Assumptions!$C$108:$C$112,MATCH('Cash flow forecast'!$B40,Assumptions!$A$108:$A$112,0))/12))*(1+INDEX(Assumptions!$D$108:$D$112,MATCH('Cash flow forecast'!$B40,Assumptions!$A$108:$A$112,0))/12)))</f>
        <v>136.94025440032118</v>
      </c>
      <c r="I40" s="151">
        <f>IF(I$5&lt;Assumptions!$B$106,0,IF('Cash flow forecast'!I$5=Assumptions!$B$106,INDEX(Assumptions!$B$108:$B$112,MATCH('Cash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forecast'!$B40,Assumptions!$A$108:$A$112,0)))),(H40*(1+INDEX(Assumptions!$C$108:$C$112,MATCH('Cash flow forecast'!$B40,Assumptions!$A$108:$A$112,0))/12))*(1+INDEX(Assumptions!$D$108:$D$112,MATCH('Cash flow forecast'!$B40,Assumptions!$A$108:$A$112,0))/12)))</f>
        <v>137.28165406233308</v>
      </c>
      <c r="J40" s="151">
        <f>IF(J$5&lt;Assumptions!$B$106,0,IF('Cash flow forecast'!J$5=Assumptions!$B$106,INDEX(Assumptions!$B$108:$B$112,MATCH('Cash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forecast'!$B40,Assumptions!$A$108:$A$112,0)))),(I40*(1+INDEX(Assumptions!$C$108:$C$112,MATCH('Cash flow forecast'!$B40,Assumptions!$A$108:$A$112,0))/12))*(1+INDEX(Assumptions!$D$108:$D$112,MATCH('Cash flow forecast'!$B40,Assumptions!$A$108:$A$112,0))/12)))</f>
        <v>137.62390485266903</v>
      </c>
      <c r="K40" s="151">
        <f>IF(K$5&lt;Assumptions!$B$106,0,IF('Cash flow forecast'!K$5=Assumptions!$B$106,INDEX(Assumptions!$B$108:$B$112,MATCH('Cash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forecast'!$B40,Assumptions!$A$108:$A$112,0)))),(J40*(1+INDEX(Assumptions!$C$108:$C$112,MATCH('Cash flow forecast'!$B40,Assumptions!$A$108:$A$112,0))/12))*(1+INDEX(Assumptions!$D$108:$D$112,MATCH('Cash flow forecast'!$B40,Assumptions!$A$108:$A$112,0))/12)))</f>
        <v>137.96700889323921</v>
      </c>
      <c r="L40" s="151">
        <f>IF(L$5&lt;Assumptions!$B$106,0,IF('Cash flow forecast'!L$5=Assumptions!$B$106,INDEX(Assumptions!$B$108:$B$112,MATCH('Cash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forecast'!$B40,Assumptions!$A$108:$A$112,0)))),(K40*(1+INDEX(Assumptions!$C$108:$C$112,MATCH('Cash flow forecast'!$B40,Assumptions!$A$108:$A$112,0))/12))*(1+INDEX(Assumptions!$D$108:$D$112,MATCH('Cash flow forecast'!$B40,Assumptions!$A$108:$A$112,0))/12)))</f>
        <v>138.31096831124387</v>
      </c>
      <c r="M40" s="151">
        <f>IF(M$5&lt;Assumptions!$B$106,0,IF('Cash flow forecast'!M$5=Assumptions!$B$106,INDEX(Assumptions!$B$108:$B$112,MATCH('Cash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forecast'!$B40,Assumptions!$A$108:$A$112,0)))),(L40*(1+INDEX(Assumptions!$C$108:$C$112,MATCH('Cash flow forecast'!$B40,Assumptions!$A$108:$A$112,0))/12))*(1+INDEX(Assumptions!$D$108:$D$112,MATCH('Cash flow forecast'!$B40,Assumptions!$A$108:$A$112,0))/12)))</f>
        <v>138.65578523918649</v>
      </c>
      <c r="N40" s="152">
        <f>IF(N$5&lt;Assumptions!$B$106,0,IF('Cash flow forecast'!N$5=Assumptions!$B$106,INDEX(Assumptions!$B$108:$B$112,MATCH('Cash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forecast'!$B40,Assumptions!$A$108:$A$112,0)))),(M40*(1+INDEX(Assumptions!$C$108:$C$112,MATCH('Cash flow forecast'!$B40,Assumptions!$A$108:$A$112,0))/12))*(1+INDEX(Assumptions!$D$108:$D$112,MATCH('Cash flow forecast'!$B40,Assumptions!$A$108:$A$112,0))/12)))</f>
        <v>139.00146181488697</v>
      </c>
      <c r="O40" s="150">
        <f>IF(O$5&lt;Assumptions!$B$106,0,IF('Cash flow forecast'!O$5=Assumptions!$B$106,INDEX(Assumptions!$B$108:$B$112,MATCH('Cash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forecast'!$B40,Assumptions!$A$108:$A$112,0)))),(N40*(1+INDEX(Assumptions!$C$108:$C$112,MATCH('Cash flow forecast'!$B40,Assumptions!$A$108:$A$112,0))/12))*(1+INDEX(Assumptions!$D$108:$D$112,MATCH('Cash flow forecast'!$B40,Assumptions!$A$108:$A$112,0))/12)))</f>
        <v>139.34800018149491</v>
      </c>
      <c r="P40" s="151">
        <f>IF(P$5&lt;Assumptions!$B$106,0,IF('Cash flow forecast'!P$5=Assumptions!$B$106,INDEX(Assumptions!$B$108:$B$112,MATCH('Cash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forecast'!$B40,Assumptions!$A$108:$A$112,0)))),(O40*(1+INDEX(Assumptions!$C$108:$C$112,MATCH('Cash flow forecast'!$B40,Assumptions!$A$108:$A$112,0))/12))*(1+INDEX(Assumptions!$D$108:$D$112,MATCH('Cash flow forecast'!$B40,Assumptions!$A$108:$A$112,0))/12)))</f>
        <v>139.69540248750295</v>
      </c>
      <c r="Q40" s="151">
        <f>IF(Q$5&lt;Assumptions!$B$106,0,IF('Cash flow forecast'!Q$5=Assumptions!$B$106,INDEX(Assumptions!$B$108:$B$112,MATCH('Cash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forecast'!$B40,Assumptions!$A$108:$A$112,0)))),(P40*(1+INDEX(Assumptions!$C$108:$C$112,MATCH('Cash flow forecast'!$B40,Assumptions!$A$108:$A$112,0))/12))*(1+INDEX(Assumptions!$D$108:$D$112,MATCH('Cash flow forecast'!$B40,Assumptions!$A$108:$A$112,0))/12)))</f>
        <v>140.04367088676</v>
      </c>
      <c r="R40" s="151">
        <f>IF(R$5&lt;Assumptions!$B$106,0,IF('Cash flow forecast'!R$5=Assumptions!$B$106,INDEX(Assumptions!$B$108:$B$112,MATCH('Cash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forecast'!$B40,Assumptions!$A$108:$A$112,0)))),(Q40*(1+INDEX(Assumptions!$C$108:$C$112,MATCH('Cash flow forecast'!$B40,Assumptions!$A$108:$A$112,0))/12))*(1+INDEX(Assumptions!$D$108:$D$112,MATCH('Cash flow forecast'!$B40,Assumptions!$A$108:$A$112,0))/12)))</f>
        <v>140.39280753848462</v>
      </c>
      <c r="S40" s="151">
        <f>IF(S$5&lt;Assumptions!$B$106,0,IF('Cash flow forecast'!S$5=Assumptions!$B$106,INDEX(Assumptions!$B$108:$B$112,MATCH('Cash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forecast'!$B40,Assumptions!$A$108:$A$112,0)))),(R40*(1+INDEX(Assumptions!$C$108:$C$112,MATCH('Cash flow forecast'!$B40,Assumptions!$A$108:$A$112,0))/12))*(1+INDEX(Assumptions!$D$108:$D$112,MATCH('Cash flow forecast'!$B40,Assumptions!$A$108:$A$112,0))/12)))</f>
        <v>140.74281460727849</v>
      </c>
      <c r="T40" s="151">
        <f>IF(T$5&lt;Assumptions!$B$106,0,IF('Cash flow forecast'!T$5=Assumptions!$B$106,INDEX(Assumptions!$B$108:$B$112,MATCH('Cash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forecast'!$B40,Assumptions!$A$108:$A$112,0)))),(S40*(1+INDEX(Assumptions!$C$108:$C$112,MATCH('Cash flow forecast'!$B40,Assumptions!$A$108:$A$112,0))/12))*(1+INDEX(Assumptions!$D$108:$D$112,MATCH('Cash flow forecast'!$B40,Assumptions!$A$108:$A$112,0))/12)))</f>
        <v>141.09369426313967</v>
      </c>
      <c r="U40" s="151">
        <f>IF(U$5&lt;Assumptions!$B$106,0,IF('Cash flow forecast'!U$5=Assumptions!$B$106,INDEX(Assumptions!$B$108:$B$112,MATCH('Cash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forecast'!$B40,Assumptions!$A$108:$A$112,0)))),(T40*(1+INDEX(Assumptions!$C$108:$C$112,MATCH('Cash flow forecast'!$B40,Assumptions!$A$108:$A$112,0))/12))*(1+INDEX(Assumptions!$D$108:$D$112,MATCH('Cash flow forecast'!$B40,Assumptions!$A$108:$A$112,0))/12)))</f>
        <v>141.44544868147625</v>
      </c>
      <c r="V40" s="151">
        <f>IF(V$5&lt;Assumptions!$B$106,0,IF('Cash flow forecast'!V$5=Assumptions!$B$106,INDEX(Assumptions!$B$108:$B$112,MATCH('Cash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forecast'!$B40,Assumptions!$A$108:$A$112,0)))),(U40*(1+INDEX(Assumptions!$C$108:$C$112,MATCH('Cash flow forecast'!$B40,Assumptions!$A$108:$A$112,0))/12))*(1+INDEX(Assumptions!$D$108:$D$112,MATCH('Cash flow forecast'!$B40,Assumptions!$A$108:$A$112,0))/12)))</f>
        <v>141.79808004311963</v>
      </c>
      <c r="W40" s="151">
        <f>IF(W$5&lt;Assumptions!$B$106,0,IF('Cash flow forecast'!W$5=Assumptions!$B$106,INDEX(Assumptions!$B$108:$B$112,MATCH('Cash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forecast'!$B40,Assumptions!$A$108:$A$112,0)))),(V40*(1+INDEX(Assumptions!$C$108:$C$112,MATCH('Cash flow forecast'!$B40,Assumptions!$A$108:$A$112,0))/12))*(1+INDEX(Assumptions!$D$108:$D$112,MATCH('Cash flow forecast'!$B40,Assumptions!$A$108:$A$112,0))/12)))</f>
        <v>142.15159053433825</v>
      </c>
      <c r="X40" s="151">
        <f>IF(X$5&lt;Assumptions!$B$106,0,IF('Cash flow forecast'!X$5=Assumptions!$B$106,INDEX(Assumptions!$B$108:$B$112,MATCH('Cash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forecast'!$B40,Assumptions!$A$108:$A$112,0)))),(W40*(1+INDEX(Assumptions!$C$108:$C$112,MATCH('Cash flow forecast'!$B40,Assumptions!$A$108:$A$112,0))/12))*(1+INDEX(Assumptions!$D$108:$D$112,MATCH('Cash flow forecast'!$B40,Assumptions!$A$108:$A$112,0))/12)))</f>
        <v>142.50598234685094</v>
      </c>
      <c r="Y40" s="151">
        <f>IF(Y$5&lt;Assumptions!$B$106,0,IF('Cash flow forecast'!Y$5=Assumptions!$B$106,INDEX(Assumptions!$B$108:$B$112,MATCH('Cash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forecast'!$B40,Assumptions!$A$108:$A$112,0)))),(X40*(1+INDEX(Assumptions!$C$108:$C$112,MATCH('Cash flow forecast'!$B40,Assumptions!$A$108:$A$112,0))/12))*(1+INDEX(Assumptions!$D$108:$D$112,MATCH('Cash flow forecast'!$B40,Assumptions!$A$108:$A$112,0))/12)))</f>
        <v>142.86125767784065</v>
      </c>
      <c r="Z40" s="152">
        <f>IF(Z$5&lt;Assumptions!$B$106,0,IF('Cash flow forecast'!Z$5=Assumptions!$B$106,INDEX(Assumptions!$B$108:$B$112,MATCH('Cash flow forecast'!$B40,Assumptions!$A$108:$A$112,0))*(INDEX(Assumptions!$C$4:$C$46,MATCH("Total Full",Assumptions!$A$4:$A$46,0))*(1+INDEX(Assumptions!$E$108:$E$112,MATCH('Cash flow forecast'!$B40,Assumptions!$A$108:$A$112,0)))),(Y40*(1+INDEX(Assumptions!$C$108:$C$112,MATCH('Cash flow forecast'!$B40,Assumptions!$A$108:$A$112,0))/12))*(1+INDEX(Assumptions!$D$108:$D$112,MATCH('Cash flow forecast'!$B40,Assumptions!$A$108:$A$112,0))/12)))</f>
        <v>143.21741872996802</v>
      </c>
      <c r="AA40" s="150">
        <f t="shared" ref="AA40:AD43" si="64">SUMIFS($C40:$N40,$C$6:$N$6,AA$5)</f>
        <v>277.65724705407342</v>
      </c>
      <c r="AB40" s="151">
        <f t="shared" si="64"/>
        <v>136.26000000000002</v>
      </c>
      <c r="AC40" s="151">
        <f t="shared" si="64"/>
        <v>410.82161221265426</v>
      </c>
      <c r="AD40" s="152">
        <f t="shared" si="64"/>
        <v>413.90188205715208</v>
      </c>
      <c r="AE40" s="154">
        <f t="shared" si="61"/>
        <v>1238.6407413238799</v>
      </c>
      <c r="AF40" s="150">
        <f t="shared" ref="AF40:AF43" si="65">SUMIFS($O40:$Z40,$O$6:$Z$6,AF$5)</f>
        <v>425.42667658930361</v>
      </c>
      <c r="AG40" s="151">
        <f t="shared" si="62"/>
        <v>420.13188091274753</v>
      </c>
      <c r="AH40" s="151">
        <f t="shared" si="62"/>
        <v>423.28195755189438</v>
      </c>
      <c r="AI40" s="152">
        <f t="shared" si="62"/>
        <v>426.45565292430882</v>
      </c>
      <c r="AJ40" s="154">
        <f t="shared" ref="AJ40:AJ44" si="66">SUM($O40:$Z40)</f>
        <v>1695.2961679782543</v>
      </c>
      <c r="AK40" s="236">
        <f t="shared" si="63"/>
        <v>2.1239268308852056E-3</v>
      </c>
    </row>
    <row r="41" spans="2:37" ht="22.15" hidden="1" customHeight="1" outlineLevel="1" x14ac:dyDescent="0.25">
      <c r="B41" s="91" t="s">
        <v>47</v>
      </c>
      <c r="C41" s="150">
        <f>IF(C$5&lt;Assumptions!$B$106,0,INDEX(Assumptions!$B$108:$B$112,MATCH('Cash flow forecast'!$B41,Assumptions!$A$108:$A$112,0))*(INDEX(Assumptions!$C$4:$C$46,MATCH("Total Queen",Assumptions!$A$4:$A$46,0))*(1+INDEX(Assumptions!$E$108:$E$112,MATCH('Cash flow forecast'!$B41,Assumptions!$A$108:$A$112,0)))))</f>
        <v>0</v>
      </c>
      <c r="D41" s="151">
        <f>IF(D$5&lt;Assumptions!$B$106,0,IF('Cash flow forecast'!D$5=Assumptions!$B$106,INDEX(Assumptions!$B$108:$B$112,MATCH('Cash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forecast'!$B41,Assumptions!$A$108:$A$112,0)))),(C41*(1+INDEX(Assumptions!$C$108:$C$112,MATCH('Cash flow forecast'!$B41,Assumptions!$A$108:$A$112,0))/12))*(1+INDEX(Assumptions!$D$108:$D$112,MATCH('Cash flow forecast'!$B41,Assumptions!$A$108:$A$112,0))/12)))</f>
        <v>0</v>
      </c>
      <c r="E41" s="151">
        <f>IF(E$5&lt;Assumptions!$B$106,0,IF('Cash flow forecast'!E$5=Assumptions!$B$106,INDEX(Assumptions!$B$108:$B$112,MATCH('Cash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forecast'!$B41,Assumptions!$A$108:$A$112,0)))),(D41*(1+INDEX(Assumptions!$C$108:$C$112,MATCH('Cash flow forecast'!$B41,Assumptions!$A$108:$A$112,0))/12))*(1+INDEX(Assumptions!$D$108:$D$112,MATCH('Cash flow forecast'!$B41,Assumptions!$A$108:$A$112,0))/12)))</f>
        <v>0</v>
      </c>
      <c r="F41" s="151">
        <f>IF(F$5&lt;Assumptions!$B$106,0,IF('Cash flow forecast'!F$5=Assumptions!$B$106,INDEX(Assumptions!$B$108:$B$112,MATCH('Cash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forecast'!$B41,Assumptions!$A$108:$A$112,0)))),(E41*(1+INDEX(Assumptions!$C$108:$C$112,MATCH('Cash flow forecast'!$B41,Assumptions!$A$108:$A$112,0))/12))*(1+INDEX(Assumptions!$D$108:$D$112,MATCH('Cash flow forecast'!$B41,Assumptions!$A$108:$A$112,0))/12)))</f>
        <v>234.00000000000003</v>
      </c>
      <c r="G41" s="151">
        <f>IF(G$5&lt;Assumptions!$B$106,0,IF('Cash flow forecast'!G$5=Assumptions!$B$106,INDEX(Assumptions!$B$108:$B$112,MATCH('Cash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forecast'!$B41,Assumptions!$A$108:$A$112,0)))),(F41*(1+INDEX(Assumptions!$C$108:$C$112,MATCH('Cash flow forecast'!$B41,Assumptions!$A$108:$A$112,0))/12))*(1+INDEX(Assumptions!$D$108:$D$112,MATCH('Cash flow forecast'!$B41,Assumptions!$A$108:$A$112,0))/12)))</f>
        <v>234.58337500000002</v>
      </c>
      <c r="H41" s="151">
        <f>IF(H$5&lt;Assumptions!$B$106,0,IF('Cash flow forecast'!H$5=Assumptions!$B$106,INDEX(Assumptions!$B$108:$B$112,MATCH('Cash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forecast'!$B41,Assumptions!$A$108:$A$112,0)))),(G41*(1+INDEX(Assumptions!$C$108:$C$112,MATCH('Cash flow forecast'!$B41,Assumptions!$A$108:$A$112,0))/12))*(1+INDEX(Assumptions!$D$108:$D$112,MATCH('Cash flow forecast'!$B41,Assumptions!$A$108:$A$112,0))/12)))</f>
        <v>235.16820438628471</v>
      </c>
      <c r="I41" s="151">
        <f>IF(I$5&lt;Assumptions!$B$106,0,IF('Cash flow forecast'!I$5=Assumptions!$B$106,INDEX(Assumptions!$B$108:$B$112,MATCH('Cash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forecast'!$B41,Assumptions!$A$108:$A$112,0)))),(H41*(1+INDEX(Assumptions!$C$108:$C$112,MATCH('Cash flow forecast'!$B41,Assumptions!$A$108:$A$112,0))/12))*(1+INDEX(Assumptions!$D$108:$D$112,MATCH('Cash flow forecast'!$B41,Assumptions!$A$108:$A$112,0))/12)))</f>
        <v>235.75449178471996</v>
      </c>
      <c r="J41" s="151">
        <f>IF(J$5&lt;Assumptions!$B$106,0,IF('Cash flow forecast'!J$5=Assumptions!$B$106,INDEX(Assumptions!$B$108:$B$112,MATCH('Cash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forecast'!$B41,Assumptions!$A$108:$A$112,0)))),(I41*(1+INDEX(Assumptions!$C$108:$C$112,MATCH('Cash flow forecast'!$B41,Assumptions!$A$108:$A$112,0))/12))*(1+INDEX(Assumptions!$D$108:$D$112,MATCH('Cash flow forecast'!$B41,Assumptions!$A$108:$A$112,0))/12)))</f>
        <v>236.34224083021104</v>
      </c>
      <c r="K41" s="151">
        <f>IF(K$5&lt;Assumptions!$B$106,0,IF('Cash flow forecast'!K$5=Assumptions!$B$106,INDEX(Assumptions!$B$108:$B$112,MATCH('Cash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forecast'!$B41,Assumptions!$A$108:$A$112,0)))),(J41*(1+INDEX(Assumptions!$C$108:$C$112,MATCH('Cash flow forecast'!$B41,Assumptions!$A$108:$A$112,0))/12))*(1+INDEX(Assumptions!$D$108:$D$112,MATCH('Cash flow forecast'!$B41,Assumptions!$A$108:$A$112,0))/12)))</f>
        <v>236.93145516672521</v>
      </c>
      <c r="L41" s="151">
        <f>IF(L$5&lt;Assumptions!$B$106,0,IF('Cash flow forecast'!L$5=Assumptions!$B$106,INDEX(Assumptions!$B$108:$B$112,MATCH('Cash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forecast'!$B41,Assumptions!$A$108:$A$112,0)))),(K41*(1+INDEX(Assumptions!$C$108:$C$112,MATCH('Cash flow forecast'!$B41,Assumptions!$A$108:$A$112,0))/12))*(1+INDEX(Assumptions!$D$108:$D$112,MATCH('Cash flow forecast'!$B41,Assumptions!$A$108:$A$112,0))/12)))</f>
        <v>237.52213844731449</v>
      </c>
      <c r="M41" s="151">
        <f>IF(M$5&lt;Assumptions!$B$106,0,IF('Cash flow forecast'!M$5=Assumptions!$B$106,INDEX(Assumptions!$B$108:$B$112,MATCH('Cash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forecast'!$B41,Assumptions!$A$108:$A$112,0)))),(L41*(1+INDEX(Assumptions!$C$108:$C$112,MATCH('Cash flow forecast'!$B41,Assumptions!$A$108:$A$112,0))/12))*(1+INDEX(Assumptions!$D$108:$D$112,MATCH('Cash flow forecast'!$B41,Assumptions!$A$108:$A$112,0))/12)))</f>
        <v>238.11429433413801</v>
      </c>
      <c r="N41" s="152">
        <f>IF(N$5&lt;Assumptions!$B$106,0,IF('Cash flow forecast'!N$5=Assumptions!$B$106,INDEX(Assumptions!$B$108:$B$112,MATCH('Cash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forecast'!$B41,Assumptions!$A$108:$A$112,0)))),(M41*(1+INDEX(Assumptions!$C$108:$C$112,MATCH('Cash flow forecast'!$B41,Assumptions!$A$108:$A$112,0))/12))*(1+INDEX(Assumptions!$D$108:$D$112,MATCH('Cash flow forecast'!$B41,Assumptions!$A$108:$A$112,0))/12)))</f>
        <v>238.70792649848491</v>
      </c>
      <c r="O41" s="150">
        <f>IF(O$5&lt;Assumptions!$B$106,0,IF('Cash flow forecast'!O$5=Assumptions!$B$106,INDEX(Assumptions!$B$108:$B$112,MATCH('Cash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forecast'!$B41,Assumptions!$A$108:$A$112,0)))),(N41*(1+INDEX(Assumptions!$C$108:$C$112,MATCH('Cash flow forecast'!$B41,Assumptions!$A$108:$A$112,0))/12))*(1+INDEX(Assumptions!$D$108:$D$112,MATCH('Cash flow forecast'!$B41,Assumptions!$A$108:$A$112,0))/12)))</f>
        <v>239.30303862079711</v>
      </c>
      <c r="P41" s="151">
        <f>IF(P$5&lt;Assumptions!$B$106,0,IF('Cash flow forecast'!P$5=Assumptions!$B$106,INDEX(Assumptions!$B$108:$B$112,MATCH('Cash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forecast'!$B41,Assumptions!$A$108:$A$112,0)))),(O41*(1+INDEX(Assumptions!$C$108:$C$112,MATCH('Cash flow forecast'!$B41,Assumptions!$A$108:$A$112,0))/12))*(1+INDEX(Assumptions!$D$108:$D$112,MATCH('Cash flow forecast'!$B41,Assumptions!$A$108:$A$112,0))/12)))</f>
        <v>239.899634390692</v>
      </c>
      <c r="Q41" s="151">
        <f>IF(Q$5&lt;Assumptions!$B$106,0,IF('Cash flow forecast'!Q$5=Assumptions!$B$106,INDEX(Assumptions!$B$108:$B$112,MATCH('Cash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forecast'!$B41,Assumptions!$A$108:$A$112,0)))),(P41*(1+INDEX(Assumptions!$C$108:$C$112,MATCH('Cash flow forecast'!$B41,Assumptions!$A$108:$A$112,0))/12))*(1+INDEX(Assumptions!$D$108:$D$112,MATCH('Cash flow forecast'!$B41,Assumptions!$A$108:$A$112,0))/12)))</f>
        <v>240.49771750698542</v>
      </c>
      <c r="R41" s="151">
        <f>IF(R$5&lt;Assumptions!$B$106,0,IF('Cash flow forecast'!R$5=Assumptions!$B$106,INDEX(Assumptions!$B$108:$B$112,MATCH('Cash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forecast'!$B41,Assumptions!$A$108:$A$112,0)))),(Q41*(1+INDEX(Assumptions!$C$108:$C$112,MATCH('Cash flow forecast'!$B41,Assumptions!$A$108:$A$112,0))/12))*(1+INDEX(Assumptions!$D$108:$D$112,MATCH('Cash flow forecast'!$B41,Assumptions!$A$108:$A$112,0))/12)))</f>
        <v>241.09729167771462</v>
      </c>
      <c r="S41" s="151">
        <f>IF(S$5&lt;Assumptions!$B$106,0,IF('Cash flow forecast'!S$5=Assumptions!$B$106,INDEX(Assumptions!$B$108:$B$112,MATCH('Cash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forecast'!$B41,Assumptions!$A$108:$A$112,0)))),(R41*(1+INDEX(Assumptions!$C$108:$C$112,MATCH('Cash flow forecast'!$B41,Assumptions!$A$108:$A$112,0))/12))*(1+INDEX(Assumptions!$D$108:$D$112,MATCH('Cash flow forecast'!$B41,Assumptions!$A$108:$A$112,0))/12)))</f>
        <v>241.69836062016114</v>
      </c>
      <c r="T41" s="151">
        <f>IF(T$5&lt;Assumptions!$B$106,0,IF('Cash flow forecast'!T$5=Assumptions!$B$106,INDEX(Assumptions!$B$108:$B$112,MATCH('Cash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forecast'!$B41,Assumptions!$A$108:$A$112,0)))),(S41*(1+INDEX(Assumptions!$C$108:$C$112,MATCH('Cash flow forecast'!$B41,Assumptions!$A$108:$A$112,0))/12))*(1+INDEX(Assumptions!$D$108:$D$112,MATCH('Cash flow forecast'!$B41,Assumptions!$A$108:$A$112,0))/12)))</f>
        <v>242.3009280608739</v>
      </c>
      <c r="U41" s="151">
        <f>IF(U$5&lt;Assumptions!$B$106,0,IF('Cash flow forecast'!U$5=Assumptions!$B$106,INDEX(Assumptions!$B$108:$B$112,MATCH('Cash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forecast'!$B41,Assumptions!$A$108:$A$112,0)))),(T41*(1+INDEX(Assumptions!$C$108:$C$112,MATCH('Cash flow forecast'!$B41,Assumptions!$A$108:$A$112,0))/12))*(1+INDEX(Assumptions!$D$108:$D$112,MATCH('Cash flow forecast'!$B41,Assumptions!$A$108:$A$112,0))/12)))</f>
        <v>242.90499773569232</v>
      </c>
      <c r="V41" s="151">
        <f>IF(V$5&lt;Assumptions!$B$106,0,IF('Cash flow forecast'!V$5=Assumptions!$B$106,INDEX(Assumptions!$B$108:$B$112,MATCH('Cash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forecast'!$B41,Assumptions!$A$108:$A$112,0)))),(U41*(1+INDEX(Assumptions!$C$108:$C$112,MATCH('Cash flow forecast'!$B41,Assumptions!$A$108:$A$112,0))/12))*(1+INDEX(Assumptions!$D$108:$D$112,MATCH('Cash flow forecast'!$B41,Assumptions!$A$108:$A$112,0))/12)))</f>
        <v>243.51057338976949</v>
      </c>
      <c r="W41" s="151">
        <f>IF(W$5&lt;Assumptions!$B$106,0,IF('Cash flow forecast'!W$5=Assumptions!$B$106,INDEX(Assumptions!$B$108:$B$112,MATCH('Cash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forecast'!$B41,Assumptions!$A$108:$A$112,0)))),(V41*(1+INDEX(Assumptions!$C$108:$C$112,MATCH('Cash flow forecast'!$B41,Assumptions!$A$108:$A$112,0))/12))*(1+INDEX(Assumptions!$D$108:$D$112,MATCH('Cash flow forecast'!$B41,Assumptions!$A$108:$A$112,0))/12)))</f>
        <v>244.11765877759535</v>
      </c>
      <c r="X41" s="151">
        <f>IF(X$5&lt;Assumptions!$B$106,0,IF('Cash flow forecast'!X$5=Assumptions!$B$106,INDEX(Assumptions!$B$108:$B$112,MATCH('Cash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forecast'!$B41,Assumptions!$A$108:$A$112,0)))),(W41*(1+INDEX(Assumptions!$C$108:$C$112,MATCH('Cash flow forecast'!$B41,Assumptions!$A$108:$A$112,0))/12))*(1+INDEX(Assumptions!$D$108:$D$112,MATCH('Cash flow forecast'!$B41,Assumptions!$A$108:$A$112,0))/12)))</f>
        <v>244.72625766302005</v>
      </c>
      <c r="Y41" s="151">
        <f>IF(Y$5&lt;Assumptions!$B$106,0,IF('Cash flow forecast'!Y$5=Assumptions!$B$106,INDEX(Assumptions!$B$108:$B$112,MATCH('Cash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forecast'!$B41,Assumptions!$A$108:$A$112,0)))),(X41*(1+INDEX(Assumptions!$C$108:$C$112,MATCH('Cash flow forecast'!$B41,Assumptions!$A$108:$A$112,0))/12))*(1+INDEX(Assumptions!$D$108:$D$112,MATCH('Cash flow forecast'!$B41,Assumptions!$A$108:$A$112,0))/12)))</f>
        <v>245.33637381927713</v>
      </c>
      <c r="Z41" s="152">
        <f>IF(Z$5&lt;Assumptions!$B$106,0,IF('Cash flow forecast'!Z$5=Assumptions!$B$106,INDEX(Assumptions!$B$108:$B$112,MATCH('Cash flow forecast'!$B41,Assumptions!$A$108:$A$112,0))*(INDEX(Assumptions!$C$4:$C$46,MATCH("Total Queen",Assumptions!$A$4:$A$46,0))*(1+INDEX(Assumptions!$E$108:$E$112,MATCH('Cash flow forecast'!$B41,Assumptions!$A$108:$A$112,0)))),(Y41*(1+INDEX(Assumptions!$C$108:$C$112,MATCH('Cash flow forecast'!$B41,Assumptions!$A$108:$A$112,0))/12))*(1+INDEX(Assumptions!$D$108:$D$112,MATCH('Cash flow forecast'!$B41,Assumptions!$A$108:$A$112,0))/12)))</f>
        <v>245.94801102900709</v>
      </c>
      <c r="AA41" s="150">
        <f t="shared" si="64"/>
        <v>476.82222083262292</v>
      </c>
      <c r="AB41" s="151">
        <f t="shared" si="64"/>
        <v>234.00000000000003</v>
      </c>
      <c r="AC41" s="151">
        <f t="shared" si="64"/>
        <v>705.50607117100469</v>
      </c>
      <c r="AD41" s="152">
        <f t="shared" si="64"/>
        <v>710.79583444425066</v>
      </c>
      <c r="AE41" s="154">
        <f t="shared" si="61"/>
        <v>2127.1241264478786</v>
      </c>
      <c r="AF41" s="150">
        <f t="shared" si="65"/>
        <v>730.58742346908139</v>
      </c>
      <c r="AG41" s="151">
        <f t="shared" si="62"/>
        <v>721.49464357539205</v>
      </c>
      <c r="AH41" s="151">
        <f t="shared" si="62"/>
        <v>726.90428641672736</v>
      </c>
      <c r="AI41" s="152">
        <f t="shared" si="62"/>
        <v>732.35448983038486</v>
      </c>
      <c r="AJ41" s="154">
        <f t="shared" si="66"/>
        <v>2911.3408432915853</v>
      </c>
      <c r="AK41" s="236">
        <f t="shared" si="63"/>
        <v>3.6474304889706302E-3</v>
      </c>
    </row>
    <row r="42" spans="2:37" ht="22.15" hidden="1" customHeight="1" outlineLevel="1" x14ac:dyDescent="0.25">
      <c r="B42" s="91" t="s">
        <v>48</v>
      </c>
      <c r="C42" s="150">
        <f>IF(C$5&lt;Assumptions!$B$106,0,INDEX(Assumptions!$B$108:$B$112,MATCH('Cash flow forecast'!$B42,Assumptions!$A$108:$A$112,0))*(INDEX(Assumptions!$C$4:$C$46,MATCH("Total King",Assumptions!$A$4:$A$46,0))*(1+INDEX(Assumptions!$E$108:$E$112,MATCH('Cash flow forecast'!$B42,Assumptions!$A$108:$A$112,0)))))</f>
        <v>0</v>
      </c>
      <c r="D42" s="151">
        <f>IF(D$5&lt;Assumptions!$B$106,0,IF('Cash flow forecast'!D$5=Assumptions!$B$106,INDEX(Assumptions!$B$108:$B$112,MATCH('Cash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forecast'!$B42,Assumptions!$A$108:$A$112,0)))),(C42*(1+INDEX(Assumptions!$C$108:$C$112,MATCH('Cash flow forecast'!$B42,Assumptions!$A$108:$A$112,0))/12))*(1+INDEX(Assumptions!$D$108:$D$112,MATCH('Cash flow forecast'!$B42,Assumptions!$A$108:$A$112,0))/12)))</f>
        <v>0</v>
      </c>
      <c r="E42" s="151">
        <f>IF(E$5&lt;Assumptions!$B$106,0,IF('Cash flow forecast'!E$5=Assumptions!$B$106,INDEX(Assumptions!$B$108:$B$112,MATCH('Cash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forecast'!$B42,Assumptions!$A$108:$A$112,0)))),(D42*(1+INDEX(Assumptions!$C$108:$C$112,MATCH('Cash flow forecast'!$B42,Assumptions!$A$108:$A$112,0))/12))*(1+INDEX(Assumptions!$D$108:$D$112,MATCH('Cash flow forecast'!$B42,Assumptions!$A$108:$A$112,0))/12)))</f>
        <v>0</v>
      </c>
      <c r="F42" s="151">
        <f>IF(F$5&lt;Assumptions!$B$106,0,IF('Cash flow forecast'!F$5=Assumptions!$B$106,INDEX(Assumptions!$B$108:$B$112,MATCH('Cash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forecast'!$B42,Assumptions!$A$108:$A$112,0)))),(E42*(1+INDEX(Assumptions!$C$108:$C$112,MATCH('Cash flow forecast'!$B42,Assumptions!$A$108:$A$112,0))/12))*(1+INDEX(Assumptions!$D$108:$D$112,MATCH('Cash flow forecast'!$B42,Assumptions!$A$108:$A$112,0))/12)))</f>
        <v>306</v>
      </c>
      <c r="G42" s="151">
        <f>IF(G$5&lt;Assumptions!$B$106,0,IF('Cash flow forecast'!G$5=Assumptions!$B$106,INDEX(Assumptions!$B$108:$B$112,MATCH('Cash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forecast'!$B42,Assumptions!$A$108:$A$112,0)))),(F42*(1+INDEX(Assumptions!$C$108:$C$112,MATCH('Cash flow forecast'!$B42,Assumptions!$A$108:$A$112,0))/12))*(1+INDEX(Assumptions!$D$108:$D$112,MATCH('Cash flow forecast'!$B42,Assumptions!$A$108:$A$112,0))/12)))</f>
        <v>306.76287499999995</v>
      </c>
      <c r="H42" s="151">
        <f>IF(H$5&lt;Assumptions!$B$106,0,IF('Cash flow forecast'!H$5=Assumptions!$B$106,INDEX(Assumptions!$B$108:$B$112,MATCH('Cash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forecast'!$B42,Assumptions!$A$108:$A$112,0)))),(G42*(1+INDEX(Assumptions!$C$108:$C$112,MATCH('Cash flow forecast'!$B42,Assumptions!$A$108:$A$112,0))/12))*(1+INDEX(Assumptions!$D$108:$D$112,MATCH('Cash flow forecast'!$B42,Assumptions!$A$108:$A$112,0))/12)))</f>
        <v>307.5276518897569</v>
      </c>
      <c r="I42" s="151">
        <f>IF(I$5&lt;Assumptions!$B$106,0,IF('Cash flow forecast'!I$5=Assumptions!$B$106,INDEX(Assumptions!$B$108:$B$112,MATCH('Cash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forecast'!$B42,Assumptions!$A$108:$A$112,0)))),(H42*(1+INDEX(Assumptions!$C$108:$C$112,MATCH('Cash flow forecast'!$B42,Assumptions!$A$108:$A$112,0))/12))*(1+INDEX(Assumptions!$D$108:$D$112,MATCH('Cash flow forecast'!$B42,Assumptions!$A$108:$A$112,0))/12)))</f>
        <v>308.2943354107876</v>
      </c>
      <c r="J42" s="151">
        <f>IF(J$5&lt;Assumptions!$B$106,0,IF('Cash flow forecast'!J$5=Assumptions!$B$106,INDEX(Assumptions!$B$108:$B$112,MATCH('Cash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forecast'!$B42,Assumptions!$A$108:$A$112,0)))),(I42*(1+INDEX(Assumptions!$C$108:$C$112,MATCH('Cash flow forecast'!$B42,Assumptions!$A$108:$A$112,0))/12))*(1+INDEX(Assumptions!$D$108:$D$112,MATCH('Cash flow forecast'!$B42,Assumptions!$A$108:$A$112,0))/12)))</f>
        <v>309.0629303164298</v>
      </c>
      <c r="K42" s="151">
        <f>IF(K$5&lt;Assumptions!$B$106,0,IF('Cash flow forecast'!K$5=Assumptions!$B$106,INDEX(Assumptions!$B$108:$B$112,MATCH('Cash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forecast'!$B42,Assumptions!$A$108:$A$112,0)))),(J42*(1+INDEX(Assumptions!$C$108:$C$112,MATCH('Cash flow forecast'!$B42,Assumptions!$A$108:$A$112,0))/12))*(1+INDEX(Assumptions!$D$108:$D$112,MATCH('Cash flow forecast'!$B42,Assumptions!$A$108:$A$112,0))/12)))</f>
        <v>309.8334413718714</v>
      </c>
      <c r="L42" s="151">
        <f>IF(L$5&lt;Assumptions!$B$106,0,IF('Cash flow forecast'!L$5=Assumptions!$B$106,INDEX(Assumptions!$B$108:$B$112,MATCH('Cash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forecast'!$B42,Assumptions!$A$108:$A$112,0)))),(K42*(1+INDEX(Assumptions!$C$108:$C$112,MATCH('Cash flow forecast'!$B42,Assumptions!$A$108:$A$112,0))/12))*(1+INDEX(Assumptions!$D$108:$D$112,MATCH('Cash flow forecast'!$B42,Assumptions!$A$108:$A$112,0))/12)))</f>
        <v>310.6058733541804</v>
      </c>
      <c r="M42" s="151">
        <f>IF(M$5&lt;Assumptions!$B$106,0,IF('Cash flow forecast'!M$5=Assumptions!$B$106,INDEX(Assumptions!$B$108:$B$112,MATCH('Cash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forecast'!$B42,Assumptions!$A$108:$A$112,0)))),(L42*(1+INDEX(Assumptions!$C$108:$C$112,MATCH('Cash flow forecast'!$B42,Assumptions!$A$108:$A$112,0))/12))*(1+INDEX(Assumptions!$D$108:$D$112,MATCH('Cash flow forecast'!$B42,Assumptions!$A$108:$A$112,0))/12)))</f>
        <v>311.38023105233424</v>
      </c>
      <c r="N42" s="152">
        <f>IF(N$5&lt;Assumptions!$B$106,0,IF('Cash flow forecast'!N$5=Assumptions!$B$106,INDEX(Assumptions!$B$108:$B$112,MATCH('Cash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forecast'!$B42,Assumptions!$A$108:$A$112,0)))),(M42*(1+INDEX(Assumptions!$C$108:$C$112,MATCH('Cash flow forecast'!$B42,Assumptions!$A$108:$A$112,0))/12))*(1+INDEX(Assumptions!$D$108:$D$112,MATCH('Cash flow forecast'!$B42,Assumptions!$A$108:$A$112,0))/12)))</f>
        <v>312.15651926724939</v>
      </c>
      <c r="O42" s="150">
        <f>IF(O$5&lt;Assumptions!$B$106,0,IF('Cash flow forecast'!O$5=Assumptions!$B$106,INDEX(Assumptions!$B$108:$B$112,MATCH('Cash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forecast'!$B42,Assumptions!$A$108:$A$112,0)))),(N42*(1+INDEX(Assumptions!$C$108:$C$112,MATCH('Cash flow forecast'!$B42,Assumptions!$A$108:$A$112,0))/12))*(1+INDEX(Assumptions!$D$108:$D$112,MATCH('Cash flow forecast'!$B42,Assumptions!$A$108:$A$112,0))/12)))</f>
        <v>312.93474281181147</v>
      </c>
      <c r="P42" s="151">
        <f>IF(P$5&lt;Assumptions!$B$106,0,IF('Cash flow forecast'!P$5=Assumptions!$B$106,INDEX(Assumptions!$B$108:$B$112,MATCH('Cash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forecast'!$B42,Assumptions!$A$108:$A$112,0)))),(O42*(1+INDEX(Assumptions!$C$108:$C$112,MATCH('Cash flow forecast'!$B42,Assumptions!$A$108:$A$112,0))/12))*(1+INDEX(Assumptions!$D$108:$D$112,MATCH('Cash flow forecast'!$B42,Assumptions!$A$108:$A$112,0))/12)))</f>
        <v>313.71490651090477</v>
      </c>
      <c r="Q42" s="151">
        <f>IF(Q$5&lt;Assumptions!$B$106,0,IF('Cash flow forecast'!Q$5=Assumptions!$B$106,INDEX(Assumptions!$B$108:$B$112,MATCH('Cash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forecast'!$B42,Assumptions!$A$108:$A$112,0)))),(P42*(1+INDEX(Assumptions!$C$108:$C$112,MATCH('Cash flow forecast'!$B42,Assumptions!$A$108:$A$112,0))/12))*(1+INDEX(Assumptions!$D$108:$D$112,MATCH('Cash flow forecast'!$B42,Assumptions!$A$108:$A$112,0))/12)))</f>
        <v>314.49701520144237</v>
      </c>
      <c r="R42" s="151">
        <f>IF(R$5&lt;Assumptions!$B$106,0,IF('Cash flow forecast'!R$5=Assumptions!$B$106,INDEX(Assumptions!$B$108:$B$112,MATCH('Cash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forecast'!$B42,Assumptions!$A$108:$A$112,0)))),(Q42*(1+INDEX(Assumptions!$C$108:$C$112,MATCH('Cash flow forecast'!$B42,Assumptions!$A$108:$A$112,0))/12))*(1+INDEX(Assumptions!$D$108:$D$112,MATCH('Cash flow forecast'!$B42,Assumptions!$A$108:$A$112,0))/12)))</f>
        <v>315.28107373239595</v>
      </c>
      <c r="S42" s="151">
        <f>IF(S$5&lt;Assumptions!$B$106,0,IF('Cash flow forecast'!S$5=Assumptions!$B$106,INDEX(Assumptions!$B$108:$B$112,MATCH('Cash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forecast'!$B42,Assumptions!$A$108:$A$112,0)))),(R42*(1+INDEX(Assumptions!$C$108:$C$112,MATCH('Cash flow forecast'!$B42,Assumptions!$A$108:$A$112,0))/12))*(1+INDEX(Assumptions!$D$108:$D$112,MATCH('Cash flow forecast'!$B42,Assumptions!$A$108:$A$112,0))/12)))</f>
        <v>316.06708696482605</v>
      </c>
      <c r="T42" s="151">
        <f>IF(T$5&lt;Assumptions!$B$106,0,IF('Cash flow forecast'!T$5=Assumptions!$B$106,INDEX(Assumptions!$B$108:$B$112,MATCH('Cash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forecast'!$B42,Assumptions!$A$108:$A$112,0)))),(S42*(1+INDEX(Assumptions!$C$108:$C$112,MATCH('Cash flow forecast'!$B42,Assumptions!$A$108:$A$112,0))/12))*(1+INDEX(Assumptions!$D$108:$D$112,MATCH('Cash flow forecast'!$B42,Assumptions!$A$108:$A$112,0))/12)))</f>
        <v>316.85505977191195</v>
      </c>
      <c r="U42" s="151">
        <f>IF(U$5&lt;Assumptions!$B$106,0,IF('Cash flow forecast'!U$5=Assumptions!$B$106,INDEX(Assumptions!$B$108:$B$112,MATCH('Cash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forecast'!$B42,Assumptions!$A$108:$A$112,0)))),(T42*(1+INDEX(Assumptions!$C$108:$C$112,MATCH('Cash flow forecast'!$B42,Assumptions!$A$108:$A$112,0))/12))*(1+INDEX(Assumptions!$D$108:$D$112,MATCH('Cash flow forecast'!$B42,Assumptions!$A$108:$A$112,0))/12)))</f>
        <v>317.64499703898218</v>
      </c>
      <c r="V42" s="151">
        <f>IF(V$5&lt;Assumptions!$B$106,0,IF('Cash flow forecast'!V$5=Assumptions!$B$106,INDEX(Assumptions!$B$108:$B$112,MATCH('Cash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forecast'!$B42,Assumptions!$A$108:$A$112,0)))),(U42*(1+INDEX(Assumptions!$C$108:$C$112,MATCH('Cash flow forecast'!$B42,Assumptions!$A$108:$A$112,0))/12))*(1+INDEX(Assumptions!$D$108:$D$112,MATCH('Cash flow forecast'!$B42,Assumptions!$A$108:$A$112,0))/12)))</f>
        <v>318.43690366354468</v>
      </c>
      <c r="W42" s="151">
        <f>IF(W$5&lt;Assumptions!$B$106,0,IF('Cash flow forecast'!W$5=Assumptions!$B$106,INDEX(Assumptions!$B$108:$B$112,MATCH('Cash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forecast'!$B42,Assumptions!$A$108:$A$112,0)))),(V42*(1+INDEX(Assumptions!$C$108:$C$112,MATCH('Cash flow forecast'!$B42,Assumptions!$A$108:$A$112,0))/12))*(1+INDEX(Assumptions!$D$108:$D$112,MATCH('Cash flow forecast'!$B42,Assumptions!$A$108:$A$112,0))/12)))</f>
        <v>319.23078455531697</v>
      </c>
      <c r="X42" s="151">
        <f>IF(X$5&lt;Assumptions!$B$106,0,IF('Cash flow forecast'!X$5=Assumptions!$B$106,INDEX(Assumptions!$B$108:$B$112,MATCH('Cash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forecast'!$B42,Assumptions!$A$108:$A$112,0)))),(W42*(1+INDEX(Assumptions!$C$108:$C$112,MATCH('Cash flow forecast'!$B42,Assumptions!$A$108:$A$112,0))/12))*(1+INDEX(Assumptions!$D$108:$D$112,MATCH('Cash flow forecast'!$B42,Assumptions!$A$108:$A$112,0))/12)))</f>
        <v>320.02664463625695</v>
      </c>
      <c r="Y42" s="151">
        <f>IF(Y$5&lt;Assumptions!$B$106,0,IF('Cash flow forecast'!Y$5=Assumptions!$B$106,INDEX(Assumptions!$B$108:$B$112,MATCH('Cash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forecast'!$B42,Assumptions!$A$108:$A$112,0)))),(X42*(1+INDEX(Assumptions!$C$108:$C$112,MATCH('Cash flow forecast'!$B42,Assumptions!$A$108:$A$112,0))/12))*(1+INDEX(Assumptions!$D$108:$D$112,MATCH('Cash flow forecast'!$B42,Assumptions!$A$108:$A$112,0))/12)))</f>
        <v>320.82448884059312</v>
      </c>
      <c r="Z42" s="152">
        <f>IF(Z$5&lt;Assumptions!$B$106,0,IF('Cash flow forecast'!Z$5=Assumptions!$B$106,INDEX(Assumptions!$B$108:$B$112,MATCH('Cash flow forecast'!$B42,Assumptions!$A$108:$A$112,0))*(INDEX(Assumptions!$C$4:$C$46,MATCH("Total King",Assumptions!$A$4:$A$46,0))*(1+INDEX(Assumptions!$E$108:$E$112,MATCH('Cash flow forecast'!$B42,Assumptions!$A$108:$A$112,0)))),(Y42*(1+INDEX(Assumptions!$C$108:$C$112,MATCH('Cash flow forecast'!$B42,Assumptions!$A$108:$A$112,0))/12))*(1+INDEX(Assumptions!$D$108:$D$112,MATCH('Cash flow forecast'!$B42,Assumptions!$A$108:$A$112,0))/12)))</f>
        <v>321.62432211485543</v>
      </c>
      <c r="AA42" s="150">
        <f t="shared" si="64"/>
        <v>623.53675031958369</v>
      </c>
      <c r="AB42" s="151">
        <f t="shared" si="64"/>
        <v>306</v>
      </c>
      <c r="AC42" s="151">
        <f t="shared" si="64"/>
        <v>922.5848623005445</v>
      </c>
      <c r="AD42" s="152">
        <f t="shared" si="64"/>
        <v>929.5022450424816</v>
      </c>
      <c r="AE42" s="154">
        <f t="shared" si="61"/>
        <v>2781.6238576626097</v>
      </c>
      <c r="AF42" s="150">
        <f t="shared" si="65"/>
        <v>955.38355376726008</v>
      </c>
      <c r="AG42" s="151">
        <f t="shared" si="62"/>
        <v>943.49299544474309</v>
      </c>
      <c r="AH42" s="151">
        <f t="shared" si="62"/>
        <v>950.56714377572018</v>
      </c>
      <c r="AI42" s="152">
        <f t="shared" si="62"/>
        <v>957.69433285511866</v>
      </c>
      <c r="AJ42" s="154">
        <f t="shared" si="66"/>
        <v>3807.1380258428417</v>
      </c>
      <c r="AK42" s="236">
        <f t="shared" si="63"/>
        <v>4.7697167932692847E-3</v>
      </c>
    </row>
    <row r="43" spans="2:37" ht="22.15" hidden="1" customHeight="1" outlineLevel="1" x14ac:dyDescent="0.25">
      <c r="B43" s="91" t="s">
        <v>49</v>
      </c>
      <c r="C43" s="161">
        <f>IF(C$5&lt;Assumptions!$B$106,0,INDEX(Assumptions!$B$108:$B$112,MATCH('Cash flow forecast'!$B43,Assumptions!$A$108:$A$112,0))*(INDEX(Assumptions!$C$4:$C$46,MATCH("Total Universal",Assumptions!$A$4:$A$46,0))*(1+INDEX(Assumptions!$E$108:$E$112,MATCH('Cash flow forecast'!$B43,Assumptions!$A$108:$A$112,0)))))</f>
        <v>0</v>
      </c>
      <c r="D43" s="162">
        <f>IF(D$5&lt;Assumptions!$B$106,0,IF('Cash flow forecast'!D$5=Assumptions!$B$106,INDEX(Assumptions!$B$108:$B$112,MATCH('Cash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forecast'!$B43,Assumptions!$A$108:$A$112,0)))),(C43*(1+INDEX(Assumptions!$C$108:$C$112,MATCH('Cash flow forecast'!$B43,Assumptions!$A$108:$A$112,0))/12))*(1+INDEX(Assumptions!$D$108:$D$112,MATCH('Cash flow forecast'!$B43,Assumptions!$A$108:$A$112,0))/12)))</f>
        <v>0</v>
      </c>
      <c r="E43" s="162">
        <f>IF(E$5&lt;Assumptions!$B$106,0,IF('Cash flow forecast'!E$5=Assumptions!$B$106,INDEX(Assumptions!$B$108:$B$112,MATCH('Cash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forecast'!$B43,Assumptions!$A$108:$A$112,0)))),(D43*(1+INDEX(Assumptions!$C$108:$C$112,MATCH('Cash flow forecast'!$B43,Assumptions!$A$108:$A$112,0))/12))*(1+INDEX(Assumptions!$D$108:$D$112,MATCH('Cash flow forecast'!$B43,Assumptions!$A$108:$A$112,0))/12)))</f>
        <v>0</v>
      </c>
      <c r="F43" s="162">
        <f>IF(F$5&lt;Assumptions!$B$106,0,IF('Cash flow forecast'!F$5=Assumptions!$B$106,INDEX(Assumptions!$B$108:$B$112,MATCH('Cash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forecast'!$B43,Assumptions!$A$108:$A$112,0)))),(E43*(1+INDEX(Assumptions!$C$108:$C$112,MATCH('Cash flow forecast'!$B43,Assumptions!$A$108:$A$112,0))/12))*(1+INDEX(Assumptions!$D$108:$D$112,MATCH('Cash flow forecast'!$B43,Assumptions!$A$108:$A$112,0))/12)))</f>
        <v>78.39</v>
      </c>
      <c r="G43" s="162">
        <f>IF(G$5&lt;Assumptions!$B$106,0,IF('Cash flow forecast'!G$5=Assumptions!$B$106,INDEX(Assumptions!$B$108:$B$112,MATCH('Cash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forecast'!$B43,Assumptions!$A$108:$A$112,0)))),(F43*(1+INDEX(Assumptions!$C$108:$C$112,MATCH('Cash flow forecast'!$B43,Assumptions!$A$108:$A$112,0))/12))*(1+INDEX(Assumptions!$D$108:$D$112,MATCH('Cash flow forecast'!$B43,Assumptions!$A$108:$A$112,0))/12)))</f>
        <v>78.585430624999987</v>
      </c>
      <c r="H43" s="162">
        <f>IF(H$5&lt;Assumptions!$B$106,0,IF('Cash flow forecast'!H$5=Assumptions!$B$106,INDEX(Assumptions!$B$108:$B$112,MATCH('Cash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forecast'!$B43,Assumptions!$A$108:$A$112,0)))),(G43*(1+INDEX(Assumptions!$C$108:$C$112,MATCH('Cash flow forecast'!$B43,Assumptions!$A$108:$A$112,0))/12))*(1+INDEX(Assumptions!$D$108:$D$112,MATCH('Cash flow forecast'!$B43,Assumptions!$A$108:$A$112,0))/12)))</f>
        <v>78.781348469405359</v>
      </c>
      <c r="I43" s="162">
        <f>IF(I$5&lt;Assumptions!$B$106,0,IF('Cash flow forecast'!I$5=Assumptions!$B$106,INDEX(Assumptions!$B$108:$B$112,MATCH('Cash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forecast'!$B43,Assumptions!$A$108:$A$112,0)))),(H43*(1+INDEX(Assumptions!$C$108:$C$112,MATCH('Cash flow forecast'!$B43,Assumptions!$A$108:$A$112,0))/12))*(1+INDEX(Assumptions!$D$108:$D$112,MATCH('Cash flow forecast'!$B43,Assumptions!$A$108:$A$112,0))/12)))</f>
        <v>78.977754747881164</v>
      </c>
      <c r="J43" s="162">
        <f>IF(J$5&lt;Assumptions!$B$106,0,IF('Cash flow forecast'!J$5=Assumptions!$B$106,INDEX(Assumptions!$B$108:$B$112,MATCH('Cash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forecast'!$B43,Assumptions!$A$108:$A$112,0)))),(I43*(1+INDEX(Assumptions!$C$108:$C$112,MATCH('Cash flow forecast'!$B43,Assumptions!$A$108:$A$112,0))/12))*(1+INDEX(Assumptions!$D$108:$D$112,MATCH('Cash flow forecast'!$B43,Assumptions!$A$108:$A$112,0))/12)))</f>
        <v>79.17465067812067</v>
      </c>
      <c r="K43" s="162">
        <f>IF(K$5&lt;Assumptions!$B$106,0,IF('Cash flow forecast'!K$5=Assumptions!$B$106,INDEX(Assumptions!$B$108:$B$112,MATCH('Cash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forecast'!$B43,Assumptions!$A$108:$A$112,0)))),(J43*(1+INDEX(Assumptions!$C$108:$C$112,MATCH('Cash flow forecast'!$B43,Assumptions!$A$108:$A$112,0))/12))*(1+INDEX(Assumptions!$D$108:$D$112,MATCH('Cash flow forecast'!$B43,Assumptions!$A$108:$A$112,0))/12)))</f>
        <v>79.372037480852924</v>
      </c>
      <c r="L43" s="162">
        <f>IF(L$5&lt;Assumptions!$B$106,0,IF('Cash flow forecast'!L$5=Assumptions!$B$106,INDEX(Assumptions!$B$108:$B$112,MATCH('Cash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forecast'!$B43,Assumptions!$A$108:$A$112,0)))),(K43*(1+INDEX(Assumptions!$C$108:$C$112,MATCH('Cash flow forecast'!$B43,Assumptions!$A$108:$A$112,0))/12))*(1+INDEX(Assumptions!$D$108:$D$112,MATCH('Cash flow forecast'!$B43,Assumptions!$A$108:$A$112,0))/12)))</f>
        <v>79.569916379850326</v>
      </c>
      <c r="M43" s="162">
        <f>IF(M$5&lt;Assumptions!$B$106,0,IF('Cash flow forecast'!M$5=Assumptions!$B$106,INDEX(Assumptions!$B$108:$B$112,MATCH('Cash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forecast'!$B43,Assumptions!$A$108:$A$112,0)))),(L43*(1+INDEX(Assumptions!$C$108:$C$112,MATCH('Cash flow forecast'!$B43,Assumptions!$A$108:$A$112,0))/12))*(1+INDEX(Assumptions!$D$108:$D$112,MATCH('Cash flow forecast'!$B43,Assumptions!$A$108:$A$112,0))/12)))</f>
        <v>79.768288601936206</v>
      </c>
      <c r="N43" s="171">
        <f>IF(N$5&lt;Assumptions!$B$106,0,IF('Cash flow forecast'!N$5=Assumptions!$B$106,INDEX(Assumptions!$B$108:$B$112,MATCH('Cash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forecast'!$B43,Assumptions!$A$108:$A$112,0)))),(M43*(1+INDEX(Assumptions!$C$108:$C$112,MATCH('Cash flow forecast'!$B43,Assumptions!$A$108:$A$112,0))/12))*(1+INDEX(Assumptions!$D$108:$D$112,MATCH('Cash flow forecast'!$B43,Assumptions!$A$108:$A$112,0))/12)))</f>
        <v>79.967155376992423</v>
      </c>
      <c r="O43" s="161">
        <f>IF(O$5&lt;Assumptions!$B$106,0,IF('Cash flow forecast'!O$5=Assumptions!$B$106,INDEX(Assumptions!$B$108:$B$112,MATCH('Cash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forecast'!$B43,Assumptions!$A$108:$A$112,0)))),(N43*(1+INDEX(Assumptions!$C$108:$C$112,MATCH('Cash flow forecast'!$B43,Assumptions!$A$108:$A$112,0))/12))*(1+INDEX(Assumptions!$D$108:$D$112,MATCH('Cash flow forecast'!$B43,Assumptions!$A$108:$A$112,0))/12)))</f>
        <v>80.166517937967001</v>
      </c>
      <c r="P43" s="162">
        <f>IF(P$5&lt;Assumptions!$B$106,0,IF('Cash flow forecast'!P$5=Assumptions!$B$106,INDEX(Assumptions!$B$108:$B$112,MATCH('Cash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forecast'!$B43,Assumptions!$A$108:$A$112,0)))),(O43*(1+INDEX(Assumptions!$C$108:$C$112,MATCH('Cash flow forecast'!$B43,Assumptions!$A$108:$A$112,0))/12))*(1+INDEX(Assumptions!$D$108:$D$112,MATCH('Cash flow forecast'!$B43,Assumptions!$A$108:$A$112,0))/12)))</f>
        <v>80.366377520881784</v>
      </c>
      <c r="Q43" s="162">
        <f>IF(Q$5&lt;Assumptions!$B$106,0,IF('Cash flow forecast'!Q$5=Assumptions!$B$106,INDEX(Assumptions!$B$108:$B$112,MATCH('Cash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forecast'!$B43,Assumptions!$A$108:$A$112,0)))),(P43*(1+INDEX(Assumptions!$C$108:$C$112,MATCH('Cash flow forecast'!$B43,Assumptions!$A$108:$A$112,0))/12))*(1+INDEX(Assumptions!$D$108:$D$112,MATCH('Cash flow forecast'!$B43,Assumptions!$A$108:$A$112,0))/12)))</f>
        <v>80.566735364840085</v>
      </c>
      <c r="R43" s="162">
        <f>IF(R$5&lt;Assumptions!$B$106,0,IF('Cash flow forecast'!R$5=Assumptions!$B$106,INDEX(Assumptions!$B$108:$B$112,MATCH('Cash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forecast'!$B43,Assumptions!$A$108:$A$112,0)))),(Q43*(1+INDEX(Assumptions!$C$108:$C$112,MATCH('Cash flow forecast'!$B43,Assumptions!$A$108:$A$112,0))/12))*(1+INDEX(Assumptions!$D$108:$D$112,MATCH('Cash flow forecast'!$B43,Assumptions!$A$108:$A$112,0))/12)))</f>
        <v>80.767592712034372</v>
      </c>
      <c r="S43" s="162">
        <f>IF(S$5&lt;Assumptions!$B$106,0,IF('Cash flow forecast'!S$5=Assumptions!$B$106,INDEX(Assumptions!$B$108:$B$112,MATCH('Cash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forecast'!$B43,Assumptions!$A$108:$A$112,0)))),(R43*(1+INDEX(Assumptions!$C$108:$C$112,MATCH('Cash flow forecast'!$B43,Assumptions!$A$108:$A$112,0))/12))*(1+INDEX(Assumptions!$D$108:$D$112,MATCH('Cash flow forecast'!$B43,Assumptions!$A$108:$A$112,0))/12)))</f>
        <v>80.968950807753941</v>
      </c>
      <c r="T43" s="162">
        <f>IF(T$5&lt;Assumptions!$B$106,0,IF('Cash flow forecast'!T$5=Assumptions!$B$106,INDEX(Assumptions!$B$108:$B$112,MATCH('Cash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forecast'!$B43,Assumptions!$A$108:$A$112,0)))),(S43*(1+INDEX(Assumptions!$C$108:$C$112,MATCH('Cash flow forecast'!$B43,Assumptions!$A$108:$A$112,0))/12))*(1+INDEX(Assumptions!$D$108:$D$112,MATCH('Cash flow forecast'!$B43,Assumptions!$A$108:$A$112,0))/12)))</f>
        <v>81.170810900392709</v>
      </c>
      <c r="U43" s="162">
        <f>IF(U$5&lt;Assumptions!$B$106,0,IF('Cash flow forecast'!U$5=Assumptions!$B$106,INDEX(Assumptions!$B$108:$B$112,MATCH('Cash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forecast'!$B43,Assumptions!$A$108:$A$112,0)))),(T43*(1+INDEX(Assumptions!$C$108:$C$112,MATCH('Cash flow forecast'!$B43,Assumptions!$A$108:$A$112,0))/12))*(1+INDEX(Assumptions!$D$108:$D$112,MATCH('Cash flow forecast'!$B43,Assumptions!$A$108:$A$112,0))/12)))</f>
        <v>81.37317424145688</v>
      </c>
      <c r="V43" s="162">
        <f>IF(V$5&lt;Assumptions!$B$106,0,IF('Cash flow forecast'!V$5=Assumptions!$B$106,INDEX(Assumptions!$B$108:$B$112,MATCH('Cash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forecast'!$B43,Assumptions!$A$108:$A$112,0)))),(U43*(1+INDEX(Assumptions!$C$108:$C$112,MATCH('Cash flow forecast'!$B43,Assumptions!$A$108:$A$112,0))/12))*(1+INDEX(Assumptions!$D$108:$D$112,MATCH('Cash flow forecast'!$B43,Assumptions!$A$108:$A$112,0))/12)))</f>
        <v>81.576042085572723</v>
      </c>
      <c r="W43" s="162">
        <f>IF(W$5&lt;Assumptions!$B$106,0,IF('Cash flow forecast'!W$5=Assumptions!$B$106,INDEX(Assumptions!$B$108:$B$112,MATCH('Cash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forecast'!$B43,Assumptions!$A$108:$A$112,0)))),(V43*(1+INDEX(Assumptions!$C$108:$C$112,MATCH('Cash flow forecast'!$B43,Assumptions!$A$108:$A$112,0))/12))*(1+INDEX(Assumptions!$D$108:$D$112,MATCH('Cash flow forecast'!$B43,Assumptions!$A$108:$A$112,0))/12)))</f>
        <v>81.779415690494389</v>
      </c>
      <c r="X43" s="162">
        <f>IF(X$5&lt;Assumptions!$B$106,0,IF('Cash flow forecast'!X$5=Assumptions!$B$106,INDEX(Assumptions!$B$108:$B$112,MATCH('Cash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forecast'!$B43,Assumptions!$A$108:$A$112,0)))),(W43*(1+INDEX(Assumptions!$C$108:$C$112,MATCH('Cash flow forecast'!$B43,Assumptions!$A$108:$A$112,0))/12))*(1+INDEX(Assumptions!$D$108:$D$112,MATCH('Cash flow forecast'!$B43,Assumptions!$A$108:$A$112,0))/12)))</f>
        <v>81.983296317111652</v>
      </c>
      <c r="Y43" s="162">
        <f>IF(Y$5&lt;Assumptions!$B$106,0,IF('Cash flow forecast'!Y$5=Assumptions!$B$106,INDEX(Assumptions!$B$108:$B$112,MATCH('Cash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forecast'!$B43,Assumptions!$A$108:$A$112,0)))),(X43*(1+INDEX(Assumptions!$C$108:$C$112,MATCH('Cash flow forecast'!$B43,Assumptions!$A$108:$A$112,0))/12))*(1+INDEX(Assumptions!$D$108:$D$112,MATCH('Cash flow forecast'!$B43,Assumptions!$A$108:$A$112,0))/12)))</f>
        <v>82.187685229457784</v>
      </c>
      <c r="Z43" s="171">
        <f>IF(Z$5&lt;Assumptions!$B$106,0,IF('Cash flow forecast'!Z$5=Assumptions!$B$106,INDEX(Assumptions!$B$108:$B$112,MATCH('Cash flow forecast'!$B43,Assumptions!$A$108:$A$112,0))*(INDEX(Assumptions!$C$4:$C$46,MATCH("Total Universal",Assumptions!$A$4:$A$46,0))*(1+INDEX(Assumptions!$E$108:$E$112,MATCH('Cash flow forecast'!$B43,Assumptions!$A$108:$A$112,0)))),(Y43*(1+INDEX(Assumptions!$C$108:$C$112,MATCH('Cash flow forecast'!$B43,Assumptions!$A$108:$A$112,0))/12))*(1+INDEX(Assumptions!$D$108:$D$112,MATCH('Cash flow forecast'!$B43,Assumptions!$A$108:$A$112,0))/12)))</f>
        <v>82.392583694717331</v>
      </c>
      <c r="AA43" s="161">
        <f t="shared" si="64"/>
        <v>159.73544397892863</v>
      </c>
      <c r="AB43" s="162">
        <f t="shared" si="64"/>
        <v>78.39</v>
      </c>
      <c r="AC43" s="162">
        <f t="shared" si="64"/>
        <v>236.34453384228649</v>
      </c>
      <c r="AD43" s="171">
        <f t="shared" si="64"/>
        <v>238.11660453882394</v>
      </c>
      <c r="AE43" s="154">
        <f t="shared" si="61"/>
        <v>712.58658236003896</v>
      </c>
      <c r="AF43" s="150">
        <f t="shared" si="65"/>
        <v>244.7467868621421</v>
      </c>
      <c r="AG43" s="151">
        <f t="shared" si="62"/>
        <v>241.70070559775624</v>
      </c>
      <c r="AH43" s="151">
        <f t="shared" si="62"/>
        <v>243.5129359496035</v>
      </c>
      <c r="AI43" s="152">
        <f t="shared" si="62"/>
        <v>245.33875409317875</v>
      </c>
      <c r="AJ43" s="154">
        <f t="shared" si="66"/>
        <v>975.29918250268065</v>
      </c>
      <c r="AK43" s="237">
        <f t="shared" si="63"/>
        <v>1.2218892138051605E-3</v>
      </c>
    </row>
    <row r="44" spans="2:37" ht="22.15" customHeight="1" collapsed="1" thickBot="1" x14ac:dyDescent="0.3">
      <c r="B44" s="96" t="s">
        <v>76</v>
      </c>
      <c r="C44" s="172">
        <f>SUM(C39:C43)</f>
        <v>0</v>
      </c>
      <c r="D44" s="173">
        <f>SUM(D39:D43)</f>
        <v>0</v>
      </c>
      <c r="E44" s="173">
        <f t="shared" ref="E44:Z44" si="67">SUM(E39:E43)</f>
        <v>0</v>
      </c>
      <c r="F44" s="173">
        <f t="shared" si="67"/>
        <v>919.08</v>
      </c>
      <c r="G44" s="173">
        <f t="shared" si="67"/>
        <v>922.05530062499986</v>
      </c>
      <c r="H44" s="173">
        <f t="shared" si="67"/>
        <v>925.04256922748675</v>
      </c>
      <c r="I44" s="173">
        <f t="shared" si="67"/>
        <v>928.04186591701205</v>
      </c>
      <c r="J44" s="173">
        <f t="shared" si="67"/>
        <v>931.05325115438052</v>
      </c>
      <c r="K44" s="173">
        <f t="shared" si="67"/>
        <v>934.07678575386717</v>
      </c>
      <c r="L44" s="173">
        <f t="shared" si="67"/>
        <v>937.11253088544709</v>
      </c>
      <c r="M44" s="173">
        <f t="shared" si="67"/>
        <v>940.16054807703881</v>
      </c>
      <c r="N44" s="174">
        <f t="shared" si="67"/>
        <v>943.22089921676434</v>
      </c>
      <c r="O44" s="172">
        <f t="shared" si="67"/>
        <v>946.29364655522295</v>
      </c>
      <c r="P44" s="173">
        <f t="shared" si="67"/>
        <v>949.37885270777974</v>
      </c>
      <c r="Q44" s="173">
        <f t="shared" si="67"/>
        <v>952.47658065686983</v>
      </c>
      <c r="R44" s="173">
        <f t="shared" si="67"/>
        <v>955.58689375431584</v>
      </c>
      <c r="S44" s="173">
        <f t="shared" si="67"/>
        <v>958.70985572366237</v>
      </c>
      <c r="T44" s="173">
        <f t="shared" si="67"/>
        <v>961.84553066252522</v>
      </c>
      <c r="U44" s="173">
        <f t="shared" si="67"/>
        <v>964.99398304495514</v>
      </c>
      <c r="V44" s="173">
        <f t="shared" si="67"/>
        <v>968.15527772381756</v>
      </c>
      <c r="W44" s="173">
        <f t="shared" si="67"/>
        <v>971.3294799331884</v>
      </c>
      <c r="X44" s="173">
        <f t="shared" si="67"/>
        <v>974.51665529076411</v>
      </c>
      <c r="Y44" s="173">
        <f t="shared" si="67"/>
        <v>977.71686980028869</v>
      </c>
      <c r="Z44" s="174">
        <f t="shared" si="67"/>
        <v>980.93018985399658</v>
      </c>
      <c r="AA44" s="172">
        <f>SUM(AA39:AA43)</f>
        <v>1883.3814472938029</v>
      </c>
      <c r="AB44" s="173">
        <f t="shared" ref="AB44" si="68">SUM(AB39:AB43)</f>
        <v>919.08</v>
      </c>
      <c r="AC44" s="173">
        <f t="shared" ref="AC44" si="69">SUM(AC39:AC43)</f>
        <v>2775.1397357694991</v>
      </c>
      <c r="AD44" s="174">
        <f t="shared" ref="AD44" si="70">SUM(AD39:AD43)</f>
        <v>2802.2425677936949</v>
      </c>
      <c r="AE44" s="170">
        <f t="shared" si="61"/>
        <v>8379.843750856995</v>
      </c>
      <c r="AF44" s="172">
        <f>SUM(AF39:AF43)</f>
        <v>2904.9407062095083</v>
      </c>
      <c r="AG44" s="173">
        <f t="shared" ref="AG44" si="71">SUM(AG39:AG43)</f>
        <v>2857.4423271189653</v>
      </c>
      <c r="AH44" s="173">
        <f t="shared" ref="AH44" si="72">SUM(AH39:AH43)</f>
        <v>2885.5493694311431</v>
      </c>
      <c r="AI44" s="174">
        <f t="shared" ref="AI44" si="73">SUM(AI39:AI43)</f>
        <v>2914.0014129477704</v>
      </c>
      <c r="AJ44" s="170">
        <f t="shared" si="66"/>
        <v>11561.933815707387</v>
      </c>
      <c r="AK44" s="67">
        <f t="shared" ref="AK44" si="74">AVERAGE(AE44,AJ44)/AVERAGE($AE$58,$AJ$58)</f>
        <v>1.4436191962711734E-2</v>
      </c>
    </row>
    <row r="45" spans="2:37" ht="22.15" customHeight="1" thickTop="1" x14ac:dyDescent="0.25">
      <c r="B45" s="89" t="s">
        <v>64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4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spans="2:37" ht="22.15" hidden="1" customHeight="1" outlineLevel="1" x14ac:dyDescent="0.25">
      <c r="B46" s="100" t="s">
        <v>27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</row>
    <row r="47" spans="2:37" ht="22.15" hidden="1" customHeight="1" outlineLevel="1" x14ac:dyDescent="0.25">
      <c r="B47" s="91" t="s">
        <v>25</v>
      </c>
      <c r="C47" s="144">
        <f>IF(C$5&lt;Assumptions!$B$118,0,IF(C$5=Assumptions!$B$118,Assumptions!$B$120*Assumptions!$B$123,IF(C$5=EDATE(Assumptions!$B$118,12),Assumptions!$B$120*Assumptions!$B$123,0)))</f>
        <v>10000</v>
      </c>
      <c r="D47" s="145">
        <f>IF(D$5&lt;Assumptions!$B$118,0,IF(D$5=Assumptions!$B$118,Assumptions!$B$120*Assumptions!$B$123,IF(D$5=EDATE(Assumptions!$B$118,12),Assumptions!$B$120*Assumptions!$B$123,0)))</f>
        <v>0</v>
      </c>
      <c r="E47" s="145">
        <f>IF(E$5&lt;Assumptions!$B$118,0,IF(E$5=Assumptions!$B$118,Assumptions!$B$120*Assumptions!$B$123,IF(E$5=EDATE(Assumptions!$B$118,12),Assumptions!$B$120*Assumptions!$B$123,0)))</f>
        <v>0</v>
      </c>
      <c r="F47" s="145">
        <f>IF(F$5&lt;Assumptions!$B$118,0,IF(F$5=Assumptions!$B$118,Assumptions!$B$120*Assumptions!$B$123,IF(F$5=EDATE(Assumptions!$B$118,12),Assumptions!$B$120*Assumptions!$B$123,0)))</f>
        <v>0</v>
      </c>
      <c r="G47" s="145">
        <f>IF(G$5&lt;Assumptions!$B$118,0,IF(G$5=Assumptions!$B$118,Assumptions!$B$120*Assumptions!$B$123,IF(G$5=EDATE(Assumptions!$B$118,12),Assumptions!$B$120*Assumptions!$B$123,0)))</f>
        <v>0</v>
      </c>
      <c r="H47" s="145">
        <f>IF(H$5&lt;Assumptions!$B$118,0,IF(H$5=Assumptions!$B$118,Assumptions!$B$120*Assumptions!$B$123,IF(H$5=EDATE(Assumptions!$B$118,12),Assumptions!$B$120*Assumptions!$B$123,0)))</f>
        <v>0</v>
      </c>
      <c r="I47" s="145">
        <f>IF(I$5&lt;Assumptions!$B$118,0,IF(I$5=Assumptions!$B$118,Assumptions!$B$120*Assumptions!$B$123,IF(I$5=EDATE(Assumptions!$B$118,12),Assumptions!$B$120*Assumptions!$B$123,0)))</f>
        <v>0</v>
      </c>
      <c r="J47" s="145">
        <f>IF(J$5&lt;Assumptions!$B$118,0,IF(J$5=Assumptions!$B$118,Assumptions!$B$120*Assumptions!$B$123,IF(J$5=EDATE(Assumptions!$B$118,12),Assumptions!$B$120*Assumptions!$B$123,0)))</f>
        <v>0</v>
      </c>
      <c r="K47" s="145">
        <f>IF(K$5&lt;Assumptions!$B$118,0,IF(K$5=Assumptions!$B$118,Assumptions!$B$120*Assumptions!$B$123,IF(K$5=EDATE(Assumptions!$B$118,12),Assumptions!$B$120*Assumptions!$B$123,0)))</f>
        <v>0</v>
      </c>
      <c r="L47" s="145">
        <f>IF(L$5&lt;Assumptions!$B$118,0,IF(L$5=Assumptions!$B$118,Assumptions!$B$120*Assumptions!$B$123,IF(L$5=EDATE(Assumptions!$B$118,12),Assumptions!$B$120*Assumptions!$B$123,0)))</f>
        <v>0</v>
      </c>
      <c r="M47" s="145">
        <f>IF(M$5&lt;Assumptions!$B$118,0,IF(M$5=Assumptions!$B$118,Assumptions!$B$120*Assumptions!$B$123,IF(M$5=EDATE(Assumptions!$B$118,12),Assumptions!$B$120*Assumptions!$B$123,0)))</f>
        <v>0</v>
      </c>
      <c r="N47" s="175">
        <f>IF(N$5&lt;Assumptions!$B$118,0,IF(N$5=Assumptions!$B$118,Assumptions!$B$120*Assumptions!$B$123,IF(N$5=EDATE(Assumptions!$B$118,12),Assumptions!$B$120*Assumptions!$B$123,0)))</f>
        <v>0</v>
      </c>
      <c r="O47" s="144">
        <f>IF(O$5&lt;Assumptions!$B$118,0,IF(O$5=Assumptions!$B$118,Assumptions!$B$120*Assumptions!$B$123,IF(O$5=EDATE(Assumptions!$B$118,12),Assumptions!$B$120*Assumptions!$B$123,0)))</f>
        <v>10000</v>
      </c>
      <c r="P47" s="145">
        <f>IF(P$5&lt;Assumptions!$B$118,0,IF(P$5=Assumptions!$B$118,Assumptions!$B$120*Assumptions!$B$123,IF(P$5=EDATE(Assumptions!$B$118,12),Assumptions!$B$120*Assumptions!$B$123,0)))</f>
        <v>0</v>
      </c>
      <c r="Q47" s="145">
        <f>IF(Q$5&lt;Assumptions!$B$118,0,IF(Q$5=Assumptions!$B$118,Assumptions!$B$120*Assumptions!$B$123,IF(Q$5=EDATE(Assumptions!$B$118,12),Assumptions!$B$120*Assumptions!$B$123,0)))</f>
        <v>0</v>
      </c>
      <c r="R47" s="145">
        <f>IF(R$5&lt;Assumptions!$B$118,0,IF(R$5=Assumptions!$B$118,Assumptions!$B$120*Assumptions!$B$123,IF(R$5=EDATE(Assumptions!$B$118,12),Assumptions!$B$120*Assumptions!$B$123,0)))</f>
        <v>0</v>
      </c>
      <c r="S47" s="145">
        <f>IF(S$5&lt;Assumptions!$B$118,0,IF(S$5=Assumptions!$B$118,Assumptions!$B$120*Assumptions!$B$123,IF(S$5=EDATE(Assumptions!$B$118,12),Assumptions!$B$120*Assumptions!$B$123,0)))</f>
        <v>0</v>
      </c>
      <c r="T47" s="145">
        <f>IF(T$5&lt;Assumptions!$B$118,0,IF(T$5=Assumptions!$B$118,Assumptions!$B$120*Assumptions!$B$123,IF(T$5=EDATE(Assumptions!$B$118,12),Assumptions!$B$120*Assumptions!$B$123,0)))</f>
        <v>0</v>
      </c>
      <c r="U47" s="145">
        <f>IF(U$5&lt;Assumptions!$B$118,0,IF(U$5=Assumptions!$B$118,Assumptions!$B$120*Assumptions!$B$123,IF(U$5=EDATE(Assumptions!$B$118,12),Assumptions!$B$120*Assumptions!$B$123,0)))</f>
        <v>0</v>
      </c>
      <c r="V47" s="145">
        <f>IF(V$5&lt;Assumptions!$B$118,0,IF(V$5=Assumptions!$B$118,Assumptions!$B$120*Assumptions!$B$123,IF(V$5=EDATE(Assumptions!$B$118,12),Assumptions!$B$120*Assumptions!$B$123,0)))</f>
        <v>0</v>
      </c>
      <c r="W47" s="145">
        <f>IF(W$5&lt;Assumptions!$B$118,0,IF(W$5=Assumptions!$B$118,Assumptions!$B$120*Assumptions!$B$123,IF(W$5=EDATE(Assumptions!$B$118,12),Assumptions!$B$120*Assumptions!$B$123,0)))</f>
        <v>0</v>
      </c>
      <c r="X47" s="145">
        <f>IF(X$5&lt;Assumptions!$B$118,0,IF(X$5=Assumptions!$B$118,Assumptions!$B$120*Assumptions!$B$123,IF(X$5=EDATE(Assumptions!$B$118,12),Assumptions!$B$120*Assumptions!$B$123,0)))</f>
        <v>0</v>
      </c>
      <c r="Y47" s="145">
        <f>IF(Y$5&lt;Assumptions!$B$118,0,IF(Y$5=Assumptions!$B$118,Assumptions!$B$120*Assumptions!$B$123,IF(Y$5=EDATE(Assumptions!$B$118,12),Assumptions!$B$120*Assumptions!$B$123,0)))</f>
        <v>0</v>
      </c>
      <c r="Z47" s="146">
        <f>IF(Z$5&lt;Assumptions!$B$118,0,IF(Z$5=Assumptions!$B$118,Assumptions!$B$120*Assumptions!$B$123,IF(Z$5=EDATE(Assumptions!$B$118,12),Assumptions!$B$120*Assumptions!$B$123,0)))</f>
        <v>0</v>
      </c>
      <c r="AA47" s="147">
        <f>SUMIFS($C47:$N47,$C$6:$N$6,AA$5)</f>
        <v>10000</v>
      </c>
      <c r="AB47" s="145">
        <f>SUMIFS($C47:$N47,$C$6:$N$6,AB$5)</f>
        <v>0</v>
      </c>
      <c r="AC47" s="145">
        <f>SUMIFS($C47:$N47,$C$6:$N$6,AC$5)</f>
        <v>0</v>
      </c>
      <c r="AD47" s="146">
        <f>SUMIFS($C47:$N47,$C$6:$N$6,AD$5)</f>
        <v>0</v>
      </c>
      <c r="AE47" s="148">
        <f t="shared" ref="AE47:AE53" si="75">SUM($C47:$N47)</f>
        <v>10000</v>
      </c>
      <c r="AF47" s="144">
        <f>SUMIFS($C47:$N47,$C$6:$N$6,AF$5)</f>
        <v>10000</v>
      </c>
      <c r="AG47" s="145">
        <f>SUMIFS($C47:$N47,$C$6:$N$6,AG$5)</f>
        <v>0</v>
      </c>
      <c r="AH47" s="145">
        <f>SUMIFS($C47:$N47,$C$6:$N$6,AH$5)</f>
        <v>0</v>
      </c>
      <c r="AI47" s="146">
        <f>SUMIFS($C47:$N47,$C$6:$N$6,AI$5)</f>
        <v>0</v>
      </c>
      <c r="AJ47" s="176">
        <f t="shared" ref="AJ47:AJ49" si="76">SUM($C47:$N47)</f>
        <v>10000</v>
      </c>
      <c r="AK47" s="238">
        <f t="shared" ref="AK47:AK50" si="77">AVERAGE(AE47,AJ47)/AVERAGE($AE$58,$AJ$58)</f>
        <v>1.4478340172559489E-2</v>
      </c>
    </row>
    <row r="48" spans="2:37" ht="22.15" hidden="1" customHeight="1" outlineLevel="1" x14ac:dyDescent="0.25">
      <c r="B48" s="91" t="s">
        <v>66</v>
      </c>
      <c r="C48" s="150">
        <f>C49*AVERAGE(Assumptions!$B$14,Assumptions!$B$22,Assumptions!$B$30,Assumptions!$B$38,Assumptions!$B$46)*Assumptions!$B$121</f>
        <v>63.825000000000003</v>
      </c>
      <c r="D48" s="151">
        <f>D49*AVERAGE(Assumptions!$B$14,Assumptions!$B$22,Assumptions!$B$30,Assumptions!$B$38,Assumptions!$B$46)*Assumptions!$B$121</f>
        <v>63.825000000000003</v>
      </c>
      <c r="E48" s="151">
        <f>E49*AVERAGE(Assumptions!$B$14,Assumptions!$B$22,Assumptions!$B$30,Assumptions!$B$38,Assumptions!$B$46)*Assumptions!$B$121</f>
        <v>63.825000000000003</v>
      </c>
      <c r="F48" s="151">
        <f>F49*AVERAGE(Assumptions!$B$14,Assumptions!$B$22,Assumptions!$B$30,Assumptions!$B$38,Assumptions!$B$46)*Assumptions!$B$121</f>
        <v>63.825000000000003</v>
      </c>
      <c r="G48" s="151">
        <f>G49*AVERAGE(Assumptions!$B$14,Assumptions!$B$22,Assumptions!$B$30,Assumptions!$B$38,Assumptions!$B$46)*Assumptions!$B$121</f>
        <v>63.825000000000003</v>
      </c>
      <c r="H48" s="151">
        <f>H49*AVERAGE(Assumptions!$B$14,Assumptions!$B$22,Assumptions!$B$30,Assumptions!$B$38,Assumptions!$B$46)*Assumptions!$B$121</f>
        <v>63.825000000000003</v>
      </c>
      <c r="I48" s="151">
        <f>I49*AVERAGE(Assumptions!$B$14,Assumptions!$B$22,Assumptions!$B$30,Assumptions!$B$38,Assumptions!$B$46)*Assumptions!$B$121</f>
        <v>63.825000000000003</v>
      </c>
      <c r="J48" s="151">
        <f>J49*AVERAGE(Assumptions!$B$14,Assumptions!$B$22,Assumptions!$B$30,Assumptions!$B$38,Assumptions!$B$46)*Assumptions!$B$121</f>
        <v>63.825000000000003</v>
      </c>
      <c r="K48" s="151">
        <f>K49*AVERAGE(Assumptions!$B$14,Assumptions!$B$22,Assumptions!$B$30,Assumptions!$B$38,Assumptions!$B$46)*Assumptions!$B$121</f>
        <v>63.825000000000003</v>
      </c>
      <c r="L48" s="151">
        <f>L49*AVERAGE(Assumptions!$B$14,Assumptions!$B$22,Assumptions!$B$30,Assumptions!$B$38,Assumptions!$B$46)*Assumptions!$B$121</f>
        <v>63.825000000000003</v>
      </c>
      <c r="M48" s="151">
        <f>M49*AVERAGE(Assumptions!$B$14,Assumptions!$B$22,Assumptions!$B$30,Assumptions!$B$38,Assumptions!$B$46)*Assumptions!$B$121</f>
        <v>63.825000000000003</v>
      </c>
      <c r="N48" s="160">
        <f>N49*AVERAGE(Assumptions!$B$14,Assumptions!$B$22,Assumptions!$B$30,Assumptions!$B$38,Assumptions!$B$46)*Assumptions!$B$121</f>
        <v>63.825000000000003</v>
      </c>
      <c r="O48" s="150">
        <f>O49*AVERAGE(Assumptions!$B$14,Assumptions!$B$22,Assumptions!$B$30,Assumptions!$B$38,Assumptions!$B$46)*Assumptions!$B$121</f>
        <v>63.825000000000003</v>
      </c>
      <c r="P48" s="151">
        <f>P49*AVERAGE(Assumptions!$B$14,Assumptions!$B$22,Assumptions!$B$30,Assumptions!$B$38,Assumptions!$B$46)*Assumptions!$B$121</f>
        <v>63.825000000000003</v>
      </c>
      <c r="Q48" s="151">
        <f>Q49*AVERAGE(Assumptions!$B$14,Assumptions!$B$22,Assumptions!$B$30,Assumptions!$B$38,Assumptions!$B$46)*Assumptions!$B$121</f>
        <v>63.825000000000003</v>
      </c>
      <c r="R48" s="151">
        <f>R49*AVERAGE(Assumptions!$B$14,Assumptions!$B$22,Assumptions!$B$30,Assumptions!$B$38,Assumptions!$B$46)*Assumptions!$B$121</f>
        <v>63.825000000000003</v>
      </c>
      <c r="S48" s="151">
        <f>S49*AVERAGE(Assumptions!$B$14,Assumptions!$B$22,Assumptions!$B$30,Assumptions!$B$38,Assumptions!$B$46)*Assumptions!$B$121</f>
        <v>63.825000000000003</v>
      </c>
      <c r="T48" s="151">
        <f>T49*AVERAGE(Assumptions!$B$14,Assumptions!$B$22,Assumptions!$B$30,Assumptions!$B$38,Assumptions!$B$46)*Assumptions!$B$121</f>
        <v>63.825000000000003</v>
      </c>
      <c r="U48" s="151">
        <f>U49*AVERAGE(Assumptions!$B$14,Assumptions!$B$22,Assumptions!$B$30,Assumptions!$B$38,Assumptions!$B$46)*Assumptions!$B$121</f>
        <v>63.825000000000003</v>
      </c>
      <c r="V48" s="151">
        <f>V49*AVERAGE(Assumptions!$B$14,Assumptions!$B$22,Assumptions!$B$30,Assumptions!$B$38,Assumptions!$B$46)*Assumptions!$B$121</f>
        <v>63.825000000000003</v>
      </c>
      <c r="W48" s="151">
        <f>W49*AVERAGE(Assumptions!$B$14,Assumptions!$B$22,Assumptions!$B$30,Assumptions!$B$38,Assumptions!$B$46)*Assumptions!$B$121</f>
        <v>63.825000000000003</v>
      </c>
      <c r="X48" s="151">
        <f>X49*AVERAGE(Assumptions!$B$14,Assumptions!$B$22,Assumptions!$B$30,Assumptions!$B$38,Assumptions!$B$46)*Assumptions!$B$121</f>
        <v>63.825000000000003</v>
      </c>
      <c r="Y48" s="151">
        <f>Y49*AVERAGE(Assumptions!$B$14,Assumptions!$B$22,Assumptions!$B$30,Assumptions!$B$38,Assumptions!$B$46)*Assumptions!$B$121</f>
        <v>63.825000000000003</v>
      </c>
      <c r="Z48" s="152">
        <f>Z49*AVERAGE(Assumptions!$B$14,Assumptions!$B$22,Assumptions!$B$30,Assumptions!$B$38,Assumptions!$B$46)*Assumptions!$B$121</f>
        <v>63.825000000000003</v>
      </c>
      <c r="AA48" s="153">
        <f t="shared" ref="AA48:AD49" si="78">SUMIFS($C48:$N48,$C$6:$N$6,AA$5)</f>
        <v>191.47500000000002</v>
      </c>
      <c r="AB48" s="151">
        <f t="shared" si="78"/>
        <v>191.47500000000002</v>
      </c>
      <c r="AC48" s="151">
        <f t="shared" si="78"/>
        <v>191.47500000000002</v>
      </c>
      <c r="AD48" s="152">
        <f t="shared" si="78"/>
        <v>191.47500000000002</v>
      </c>
      <c r="AE48" s="154">
        <f t="shared" si="75"/>
        <v>765.90000000000009</v>
      </c>
      <c r="AF48" s="150">
        <f t="shared" ref="AF48:AI49" si="79">SUMIFS($C48:$N48,$C$6:$N$6,AF$5)</f>
        <v>191.47500000000002</v>
      </c>
      <c r="AG48" s="151">
        <f t="shared" si="79"/>
        <v>191.47500000000002</v>
      </c>
      <c r="AH48" s="151">
        <f t="shared" si="79"/>
        <v>191.47500000000002</v>
      </c>
      <c r="AI48" s="152">
        <f t="shared" si="79"/>
        <v>191.47500000000002</v>
      </c>
      <c r="AJ48" s="177">
        <f t="shared" si="76"/>
        <v>765.90000000000009</v>
      </c>
      <c r="AK48" s="60">
        <f t="shared" si="77"/>
        <v>1.1088960738163314E-3</v>
      </c>
    </row>
    <row r="49" spans="2:37" ht="22.15" hidden="1" customHeight="1" outlineLevel="1" x14ac:dyDescent="0.25">
      <c r="B49" s="102" t="s">
        <v>65</v>
      </c>
      <c r="C49" s="103">
        <f>IF(C$5&lt;Assumptions!$B$118,0,(Assumptions!$B$122/12)*Assumptions!$B$123)</f>
        <v>41.666666666666664</v>
      </c>
      <c r="D49" s="104">
        <f>IF(D$5&lt;Assumptions!$B$118,0,(Assumptions!$B$122/12)*Assumptions!$B$123)</f>
        <v>41.666666666666664</v>
      </c>
      <c r="E49" s="104">
        <f>IF(E$5&lt;Assumptions!$B$118,0,(Assumptions!$B$122/12)*Assumptions!$B$123)</f>
        <v>41.666666666666664</v>
      </c>
      <c r="F49" s="104">
        <f>IF(F$5&lt;Assumptions!$B$118,0,(Assumptions!$B$122/12)*Assumptions!$B$123)</f>
        <v>41.666666666666664</v>
      </c>
      <c r="G49" s="104">
        <f>IF(G$5&lt;Assumptions!$B$118,0,(Assumptions!$B$122/12)*Assumptions!$B$123)</f>
        <v>41.666666666666664</v>
      </c>
      <c r="H49" s="104">
        <f>IF(H$5&lt;Assumptions!$B$118,0,(Assumptions!$B$122/12)*Assumptions!$B$123)</f>
        <v>41.666666666666664</v>
      </c>
      <c r="I49" s="104">
        <f>IF(I$5&lt;Assumptions!$B$118,0,(Assumptions!$B$122/12)*Assumptions!$B$123)</f>
        <v>41.666666666666664</v>
      </c>
      <c r="J49" s="104">
        <f>IF(J$5&lt;Assumptions!$B$118,0,(Assumptions!$B$122/12)*Assumptions!$B$123)</f>
        <v>41.666666666666664</v>
      </c>
      <c r="K49" s="104">
        <f>IF(K$5&lt;Assumptions!$B$118,0,(Assumptions!$B$122/12)*Assumptions!$B$123)</f>
        <v>41.666666666666664</v>
      </c>
      <c r="L49" s="104">
        <f>IF(L$5&lt;Assumptions!$B$118,0,(Assumptions!$B$122/12)*Assumptions!$B$123)</f>
        <v>41.666666666666664</v>
      </c>
      <c r="M49" s="104">
        <f>IF(M$5&lt;Assumptions!$B$118,0,(Assumptions!$B$122/12)*Assumptions!$B$123)</f>
        <v>41.666666666666664</v>
      </c>
      <c r="N49" s="105">
        <f>IF(N$5&lt;Assumptions!$B$118,0,(Assumptions!$B$122/12)*Assumptions!$B$123)</f>
        <v>41.666666666666664</v>
      </c>
      <c r="O49" s="103">
        <f>IF(O$5&lt;Assumptions!$B$118,0,(Assumptions!$B$122/12)*Assumptions!$B$123)</f>
        <v>41.666666666666664</v>
      </c>
      <c r="P49" s="104">
        <f>IF(P$5&lt;Assumptions!$B$118,0,(Assumptions!$B$122/12)*Assumptions!$B$123)</f>
        <v>41.666666666666664</v>
      </c>
      <c r="Q49" s="104">
        <f>IF(Q$5&lt;Assumptions!$B$118,0,(Assumptions!$B$122/12)*Assumptions!$B$123)</f>
        <v>41.666666666666664</v>
      </c>
      <c r="R49" s="104">
        <f>IF(R$5&lt;Assumptions!$B$118,0,(Assumptions!$B$122/12)*Assumptions!$B$123)</f>
        <v>41.666666666666664</v>
      </c>
      <c r="S49" s="104">
        <f>IF(S$5&lt;Assumptions!$B$118,0,(Assumptions!$B$122/12)*Assumptions!$B$123)</f>
        <v>41.666666666666664</v>
      </c>
      <c r="T49" s="104">
        <f>IF(T$5&lt;Assumptions!$B$118,0,(Assumptions!$B$122/12)*Assumptions!$B$123)</f>
        <v>41.666666666666664</v>
      </c>
      <c r="U49" s="104">
        <f>IF(U$5&lt;Assumptions!$B$118,0,(Assumptions!$B$122/12)*Assumptions!$B$123)</f>
        <v>41.666666666666664</v>
      </c>
      <c r="V49" s="104">
        <f>IF(V$5&lt;Assumptions!$B$118,0,(Assumptions!$B$122/12)*Assumptions!$B$123)</f>
        <v>41.666666666666664</v>
      </c>
      <c r="W49" s="104">
        <f>IF(W$5&lt;Assumptions!$B$118,0,(Assumptions!$B$122/12)*Assumptions!$B$123)</f>
        <v>41.666666666666664</v>
      </c>
      <c r="X49" s="104">
        <f>IF(X$5&lt;Assumptions!$B$118,0,(Assumptions!$B$122/12)*Assumptions!$B$123)</f>
        <v>41.666666666666664</v>
      </c>
      <c r="Y49" s="104">
        <f>IF(Y$5&lt;Assumptions!$B$118,0,(Assumptions!$B$122/12)*Assumptions!$B$123)</f>
        <v>41.666666666666664</v>
      </c>
      <c r="Z49" s="106">
        <f>IF(Z$5&lt;Assumptions!$B$118,0,(Assumptions!$B$122/12)*Assumptions!$B$123)</f>
        <v>41.666666666666664</v>
      </c>
      <c r="AA49" s="107">
        <f t="shared" si="78"/>
        <v>125</v>
      </c>
      <c r="AB49" s="104">
        <f t="shared" si="78"/>
        <v>125</v>
      </c>
      <c r="AC49" s="104">
        <f t="shared" si="78"/>
        <v>125</v>
      </c>
      <c r="AD49" s="106">
        <f t="shared" si="78"/>
        <v>125</v>
      </c>
      <c r="AE49" s="108">
        <f t="shared" si="75"/>
        <v>500.00000000000006</v>
      </c>
      <c r="AF49" s="93">
        <f t="shared" si="79"/>
        <v>125</v>
      </c>
      <c r="AG49" s="94">
        <f t="shared" si="79"/>
        <v>125</v>
      </c>
      <c r="AH49" s="94">
        <f t="shared" si="79"/>
        <v>125</v>
      </c>
      <c r="AI49" s="95">
        <f t="shared" si="79"/>
        <v>125</v>
      </c>
      <c r="AJ49" s="101">
        <f t="shared" si="76"/>
        <v>500.00000000000006</v>
      </c>
      <c r="AK49" s="239"/>
    </row>
    <row r="50" spans="2:37" ht="22.15" hidden="1" customHeight="1" outlineLevel="1" x14ac:dyDescent="0.25">
      <c r="B50" s="109" t="s">
        <v>67</v>
      </c>
      <c r="C50" s="178">
        <f>C48+C47</f>
        <v>10063.825000000001</v>
      </c>
      <c r="D50" s="179">
        <f t="shared" ref="D50:Z50" si="80">D48+D47</f>
        <v>63.825000000000003</v>
      </c>
      <c r="E50" s="179">
        <f t="shared" si="80"/>
        <v>63.825000000000003</v>
      </c>
      <c r="F50" s="179">
        <f t="shared" si="80"/>
        <v>63.825000000000003</v>
      </c>
      <c r="G50" s="179">
        <f t="shared" si="80"/>
        <v>63.825000000000003</v>
      </c>
      <c r="H50" s="179">
        <f t="shared" si="80"/>
        <v>63.825000000000003</v>
      </c>
      <c r="I50" s="179">
        <f t="shared" si="80"/>
        <v>63.825000000000003</v>
      </c>
      <c r="J50" s="179">
        <f t="shared" si="80"/>
        <v>63.825000000000003</v>
      </c>
      <c r="K50" s="179">
        <f t="shared" si="80"/>
        <v>63.825000000000003</v>
      </c>
      <c r="L50" s="179">
        <f t="shared" si="80"/>
        <v>63.825000000000003</v>
      </c>
      <c r="M50" s="179">
        <f t="shared" si="80"/>
        <v>63.825000000000003</v>
      </c>
      <c r="N50" s="180">
        <f t="shared" si="80"/>
        <v>63.825000000000003</v>
      </c>
      <c r="O50" s="178">
        <f t="shared" si="80"/>
        <v>10063.825000000001</v>
      </c>
      <c r="P50" s="179">
        <f t="shared" si="80"/>
        <v>63.825000000000003</v>
      </c>
      <c r="Q50" s="179">
        <f t="shared" si="80"/>
        <v>63.825000000000003</v>
      </c>
      <c r="R50" s="179">
        <f t="shared" si="80"/>
        <v>63.825000000000003</v>
      </c>
      <c r="S50" s="179">
        <f t="shared" si="80"/>
        <v>63.825000000000003</v>
      </c>
      <c r="T50" s="179">
        <f t="shared" si="80"/>
        <v>63.825000000000003</v>
      </c>
      <c r="U50" s="179">
        <f t="shared" si="80"/>
        <v>63.825000000000003</v>
      </c>
      <c r="V50" s="179">
        <f t="shared" si="80"/>
        <v>63.825000000000003</v>
      </c>
      <c r="W50" s="179">
        <f t="shared" si="80"/>
        <v>63.825000000000003</v>
      </c>
      <c r="X50" s="179">
        <f t="shared" si="80"/>
        <v>63.825000000000003</v>
      </c>
      <c r="Y50" s="179">
        <f t="shared" si="80"/>
        <v>63.825000000000003</v>
      </c>
      <c r="Z50" s="181">
        <f t="shared" si="80"/>
        <v>63.825000000000003</v>
      </c>
      <c r="AA50" s="182">
        <f t="shared" ref="AA50:AJ50" si="81">AA48+AA47</f>
        <v>10191.475</v>
      </c>
      <c r="AB50" s="179">
        <f t="shared" si="81"/>
        <v>191.47500000000002</v>
      </c>
      <c r="AC50" s="179">
        <f t="shared" si="81"/>
        <v>191.47500000000002</v>
      </c>
      <c r="AD50" s="181">
        <f t="shared" si="81"/>
        <v>191.47500000000002</v>
      </c>
      <c r="AE50" s="159">
        <f t="shared" si="81"/>
        <v>10765.9</v>
      </c>
      <c r="AF50" s="178">
        <f t="shared" si="81"/>
        <v>10191.475</v>
      </c>
      <c r="AG50" s="179">
        <f t="shared" si="81"/>
        <v>191.47500000000002</v>
      </c>
      <c r="AH50" s="179">
        <f t="shared" si="81"/>
        <v>191.47500000000002</v>
      </c>
      <c r="AI50" s="181">
        <f t="shared" si="81"/>
        <v>191.47500000000002</v>
      </c>
      <c r="AJ50" s="156">
        <f t="shared" si="81"/>
        <v>10765.9</v>
      </c>
      <c r="AK50" s="240">
        <f t="shared" si="77"/>
        <v>1.5587236246375818E-2</v>
      </c>
    </row>
    <row r="51" spans="2:37" ht="22.15" hidden="1" customHeight="1" outlineLevel="1" x14ac:dyDescent="0.25">
      <c r="B51" s="100" t="s">
        <v>28</v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</row>
    <row r="52" spans="2:37" ht="22.15" hidden="1" customHeight="1" outlineLevel="1" x14ac:dyDescent="0.25">
      <c r="B52" s="91" t="s">
        <v>66</v>
      </c>
      <c r="C52" s="144">
        <f>C53*AVERAGE(Assumptions!$B$14,Assumptions!$B$22,Assumptions!$B$30,Assumptions!$B$38,Assumptions!$B$46)*Assumptions!$B$127</f>
        <v>0</v>
      </c>
      <c r="D52" s="145">
        <f>D53*AVERAGE(Assumptions!$B$14,Assumptions!$B$22,Assumptions!$B$30,Assumptions!$B$38,Assumptions!$B$46)*Assumptions!$B$127</f>
        <v>0</v>
      </c>
      <c r="E52" s="145">
        <f>E53*AVERAGE(Assumptions!$B$14,Assumptions!$B$22,Assumptions!$B$30,Assumptions!$B$38,Assumptions!$B$46)*Assumptions!$B$127</f>
        <v>0</v>
      </c>
      <c r="F52" s="145">
        <f>F53*AVERAGE(Assumptions!$B$14,Assumptions!$B$22,Assumptions!$B$30,Assumptions!$B$38,Assumptions!$B$46)*Assumptions!$B$127</f>
        <v>0</v>
      </c>
      <c r="G52" s="145">
        <f>G53*AVERAGE(Assumptions!$B$14,Assumptions!$B$22,Assumptions!$B$30,Assumptions!$B$38,Assumptions!$B$46)*Assumptions!$B$127</f>
        <v>0</v>
      </c>
      <c r="H52" s="145">
        <f>H53*AVERAGE(Assumptions!$B$14,Assumptions!$B$22,Assumptions!$B$30,Assumptions!$B$38,Assumptions!$B$46)*Assumptions!$B$127</f>
        <v>127.65</v>
      </c>
      <c r="I52" s="145">
        <f>I53*AVERAGE(Assumptions!$B$14,Assumptions!$B$22,Assumptions!$B$30,Assumptions!$B$38,Assumptions!$B$46)*Assumptions!$B$127</f>
        <v>127.65</v>
      </c>
      <c r="J52" s="145">
        <f>J53*AVERAGE(Assumptions!$B$14,Assumptions!$B$22,Assumptions!$B$30,Assumptions!$B$38,Assumptions!$B$46)*Assumptions!$B$127</f>
        <v>127.65</v>
      </c>
      <c r="K52" s="145">
        <f>K53*AVERAGE(Assumptions!$B$14,Assumptions!$B$22,Assumptions!$B$30,Assumptions!$B$38,Assumptions!$B$46)*Assumptions!$B$127</f>
        <v>127.65</v>
      </c>
      <c r="L52" s="145">
        <f>L53*AVERAGE(Assumptions!$B$14,Assumptions!$B$22,Assumptions!$B$30,Assumptions!$B$38,Assumptions!$B$46)*Assumptions!$B$127</f>
        <v>127.65</v>
      </c>
      <c r="M52" s="145">
        <f>M53*AVERAGE(Assumptions!$B$14,Assumptions!$B$22,Assumptions!$B$30,Assumptions!$B$38,Assumptions!$B$46)*Assumptions!$B$127</f>
        <v>127.65</v>
      </c>
      <c r="N52" s="146">
        <f>N53*AVERAGE(Assumptions!$B$14,Assumptions!$B$22,Assumptions!$B$30,Assumptions!$B$38,Assumptions!$B$46)*Assumptions!$B$127</f>
        <v>127.65</v>
      </c>
      <c r="O52" s="144">
        <f>O53*AVERAGE(Assumptions!$B$14,Assumptions!$B$22,Assumptions!$B$30,Assumptions!$B$38,Assumptions!$B$46)*Assumptions!$B$127</f>
        <v>127.65</v>
      </c>
      <c r="P52" s="145">
        <f>P53*AVERAGE(Assumptions!$B$14,Assumptions!$B$22,Assumptions!$B$30,Assumptions!$B$38,Assumptions!$B$46)*Assumptions!$B$127</f>
        <v>127.65</v>
      </c>
      <c r="Q52" s="145">
        <f>Q53*AVERAGE(Assumptions!$B$14,Assumptions!$B$22,Assumptions!$B$30,Assumptions!$B$38,Assumptions!$B$46)*Assumptions!$B$127</f>
        <v>127.65</v>
      </c>
      <c r="R52" s="145">
        <f>R53*AVERAGE(Assumptions!$B$14,Assumptions!$B$22,Assumptions!$B$30,Assumptions!$B$38,Assumptions!$B$46)*Assumptions!$B$127</f>
        <v>127.65</v>
      </c>
      <c r="S52" s="145">
        <f>S53*AVERAGE(Assumptions!$B$14,Assumptions!$B$22,Assumptions!$B$30,Assumptions!$B$38,Assumptions!$B$46)*Assumptions!$B$127</f>
        <v>127.65</v>
      </c>
      <c r="T52" s="145">
        <f>T53*AVERAGE(Assumptions!$B$14,Assumptions!$B$22,Assumptions!$B$30,Assumptions!$B$38,Assumptions!$B$46)*Assumptions!$B$127</f>
        <v>127.65</v>
      </c>
      <c r="U52" s="145">
        <f>U53*AVERAGE(Assumptions!$B$14,Assumptions!$B$22,Assumptions!$B$30,Assumptions!$B$38,Assumptions!$B$46)*Assumptions!$B$127</f>
        <v>127.65</v>
      </c>
      <c r="V52" s="145">
        <f>V53*AVERAGE(Assumptions!$B$14,Assumptions!$B$22,Assumptions!$B$30,Assumptions!$B$38,Assumptions!$B$46)*Assumptions!$B$127</f>
        <v>127.65</v>
      </c>
      <c r="W52" s="145">
        <f>W53*AVERAGE(Assumptions!$B$14,Assumptions!$B$22,Assumptions!$B$30,Assumptions!$B$38,Assumptions!$B$46)*Assumptions!$B$127</f>
        <v>127.65</v>
      </c>
      <c r="X52" s="145">
        <f>X53*AVERAGE(Assumptions!$B$14,Assumptions!$B$22,Assumptions!$B$30,Assumptions!$B$38,Assumptions!$B$46)*Assumptions!$B$127</f>
        <v>127.65</v>
      </c>
      <c r="Y52" s="145">
        <f>Y53*AVERAGE(Assumptions!$B$14,Assumptions!$B$22,Assumptions!$B$30,Assumptions!$B$38,Assumptions!$B$46)*Assumptions!$B$127</f>
        <v>127.65</v>
      </c>
      <c r="Z52" s="146">
        <f>Z53*AVERAGE(Assumptions!$B$14,Assumptions!$B$22,Assumptions!$B$30,Assumptions!$B$38,Assumptions!$B$46)*Assumptions!$B$127</f>
        <v>127.65</v>
      </c>
      <c r="AA52" s="184">
        <f t="shared" ref="AA52:AD53" si="82">SUMIFS($C52:$N52,$C$6:$N$6,AA$5)</f>
        <v>255.3</v>
      </c>
      <c r="AB52" s="185">
        <f t="shared" si="82"/>
        <v>0</v>
      </c>
      <c r="AC52" s="185">
        <f t="shared" si="82"/>
        <v>255.3</v>
      </c>
      <c r="AD52" s="186">
        <f t="shared" si="82"/>
        <v>382.95000000000005</v>
      </c>
      <c r="AE52" s="187">
        <f t="shared" si="75"/>
        <v>893.55</v>
      </c>
      <c r="AF52" s="144">
        <f t="shared" ref="AF52:AI53" si="83">SUMIFS($C52:$N52,$C$6:$N$6,AF$5)</f>
        <v>255.3</v>
      </c>
      <c r="AG52" s="145">
        <f t="shared" si="83"/>
        <v>0</v>
      </c>
      <c r="AH52" s="145">
        <f t="shared" si="83"/>
        <v>255.3</v>
      </c>
      <c r="AI52" s="146">
        <f t="shared" si="83"/>
        <v>382.95000000000005</v>
      </c>
      <c r="AJ52" s="176">
        <f t="shared" ref="AJ52:AJ53" si="84">SUM($C52:$N52)</f>
        <v>893.55</v>
      </c>
      <c r="AK52" s="238">
        <f t="shared" ref="AK52:AK56" si="85">AVERAGE(AE52,AJ52)/AVERAGE($AE$58,$AJ$58)</f>
        <v>1.2937120861190531E-3</v>
      </c>
    </row>
    <row r="53" spans="2:37" ht="22.15" hidden="1" customHeight="1" outlineLevel="1" x14ac:dyDescent="0.25">
      <c r="B53" s="102" t="s">
        <v>65</v>
      </c>
      <c r="C53" s="103">
        <f>IF(C$5&lt;Assumptions!$B$125,0,(Assumptions!$B$128/12)*Assumptions!$B$129)</f>
        <v>0</v>
      </c>
      <c r="D53" s="104">
        <f>IF(D$5&lt;Assumptions!$B$125,0,(Assumptions!$B$128/12)*Assumptions!$B$129)</f>
        <v>0</v>
      </c>
      <c r="E53" s="104">
        <f>IF(E$5&lt;Assumptions!$B$125,0,(Assumptions!$B$128/12)*Assumptions!$B$129)</f>
        <v>0</v>
      </c>
      <c r="F53" s="104">
        <f>IF(F$5&lt;Assumptions!$B$125,0,(Assumptions!$B$128/12)*Assumptions!$B$129)</f>
        <v>0</v>
      </c>
      <c r="G53" s="104">
        <f>IF(G$5&lt;Assumptions!$B$125,0,(Assumptions!$B$128/12)*Assumptions!$B$129)</f>
        <v>0</v>
      </c>
      <c r="H53" s="104">
        <f>IF(H$5&lt;Assumptions!$B$125,0,(Assumptions!$B$128/12)*Assumptions!$B$129)</f>
        <v>83.333333333333329</v>
      </c>
      <c r="I53" s="104">
        <f>IF(I$5&lt;Assumptions!$B$125,0,(Assumptions!$B$128/12)*Assumptions!$B$129)</f>
        <v>83.333333333333329</v>
      </c>
      <c r="J53" s="104">
        <f>IF(J$5&lt;Assumptions!$B$125,0,(Assumptions!$B$128/12)*Assumptions!$B$129)</f>
        <v>83.333333333333329</v>
      </c>
      <c r="K53" s="104">
        <f>IF(K$5&lt;Assumptions!$B$125,0,(Assumptions!$B$128/12)*Assumptions!$B$129)</f>
        <v>83.333333333333329</v>
      </c>
      <c r="L53" s="104">
        <f>IF(L$5&lt;Assumptions!$B$125,0,(Assumptions!$B$128/12)*Assumptions!$B$129)</f>
        <v>83.333333333333329</v>
      </c>
      <c r="M53" s="104">
        <f>IF(M$5&lt;Assumptions!$B$125,0,(Assumptions!$B$128/12)*Assumptions!$B$129)</f>
        <v>83.333333333333329</v>
      </c>
      <c r="N53" s="106">
        <f>IF(N$5&lt;Assumptions!$B$125,0,(Assumptions!$B$128/12)*Assumptions!$B$129)</f>
        <v>83.333333333333329</v>
      </c>
      <c r="O53" s="103">
        <f>IF(O$5&lt;Assumptions!$B$125,0,(Assumptions!$B$128/12)*Assumptions!$B$129)</f>
        <v>83.333333333333329</v>
      </c>
      <c r="P53" s="104">
        <f>IF(P$5&lt;Assumptions!$B$125,0,(Assumptions!$B$128/12)*Assumptions!$B$129)</f>
        <v>83.333333333333329</v>
      </c>
      <c r="Q53" s="104">
        <f>IF(Q$5&lt;Assumptions!$B$125,0,(Assumptions!$B$128/12)*Assumptions!$B$129)</f>
        <v>83.333333333333329</v>
      </c>
      <c r="R53" s="104">
        <f>IF(R$5&lt;Assumptions!$B$125,0,(Assumptions!$B$128/12)*Assumptions!$B$129)</f>
        <v>83.333333333333329</v>
      </c>
      <c r="S53" s="104">
        <f>IF(S$5&lt;Assumptions!$B$125,0,(Assumptions!$B$128/12)*Assumptions!$B$129)</f>
        <v>83.333333333333329</v>
      </c>
      <c r="T53" s="104">
        <f>IF(T$5&lt;Assumptions!$B$125,0,(Assumptions!$B$128/12)*Assumptions!$B$129)</f>
        <v>83.333333333333329</v>
      </c>
      <c r="U53" s="104">
        <f>IF(U$5&lt;Assumptions!$B$125,0,(Assumptions!$B$128/12)*Assumptions!$B$129)</f>
        <v>83.333333333333329</v>
      </c>
      <c r="V53" s="104">
        <f>IF(V$5&lt;Assumptions!$B$125,0,(Assumptions!$B$128/12)*Assumptions!$B$129)</f>
        <v>83.333333333333329</v>
      </c>
      <c r="W53" s="104">
        <f>IF(W$5&lt;Assumptions!$B$125,0,(Assumptions!$B$128/12)*Assumptions!$B$129)</f>
        <v>83.333333333333329</v>
      </c>
      <c r="X53" s="104">
        <f>IF(X$5&lt;Assumptions!$B$125,0,(Assumptions!$B$128/12)*Assumptions!$B$129)</f>
        <v>83.333333333333329</v>
      </c>
      <c r="Y53" s="104">
        <f>IF(Y$5&lt;Assumptions!$B$125,0,(Assumptions!$B$128/12)*Assumptions!$B$129)</f>
        <v>83.333333333333329</v>
      </c>
      <c r="Z53" s="106">
        <f>IF(Z$5&lt;Assumptions!$B$125,0,(Assumptions!$B$128/12)*Assumptions!$B$129)</f>
        <v>83.333333333333329</v>
      </c>
      <c r="AA53" s="107">
        <f t="shared" si="82"/>
        <v>166.66666666666666</v>
      </c>
      <c r="AB53" s="104">
        <f t="shared" si="82"/>
        <v>0</v>
      </c>
      <c r="AC53" s="104">
        <f t="shared" si="82"/>
        <v>166.66666666666666</v>
      </c>
      <c r="AD53" s="106">
        <f t="shared" si="82"/>
        <v>250</v>
      </c>
      <c r="AE53" s="108">
        <f t="shared" si="75"/>
        <v>583.33333333333326</v>
      </c>
      <c r="AF53" s="93">
        <f t="shared" si="83"/>
        <v>166.66666666666666</v>
      </c>
      <c r="AG53" s="94">
        <f t="shared" si="83"/>
        <v>0</v>
      </c>
      <c r="AH53" s="94">
        <f t="shared" si="83"/>
        <v>166.66666666666666</v>
      </c>
      <c r="AI53" s="95">
        <f t="shared" si="83"/>
        <v>250</v>
      </c>
      <c r="AJ53" s="101">
        <f t="shared" si="84"/>
        <v>583.33333333333326</v>
      </c>
      <c r="AK53" s="239"/>
    </row>
    <row r="54" spans="2:37" ht="22.15" hidden="1" customHeight="1" outlineLevel="1" x14ac:dyDescent="0.25">
      <c r="B54" s="91" t="s">
        <v>70</v>
      </c>
      <c r="C54" s="178">
        <f>C52</f>
        <v>0</v>
      </c>
      <c r="D54" s="179">
        <f t="shared" ref="D54:Z54" si="86">D52</f>
        <v>0</v>
      </c>
      <c r="E54" s="179">
        <f t="shared" si="86"/>
        <v>0</v>
      </c>
      <c r="F54" s="179">
        <f t="shared" si="86"/>
        <v>0</v>
      </c>
      <c r="G54" s="179">
        <f t="shared" si="86"/>
        <v>0</v>
      </c>
      <c r="H54" s="179">
        <f t="shared" si="86"/>
        <v>127.65</v>
      </c>
      <c r="I54" s="179">
        <f t="shared" si="86"/>
        <v>127.65</v>
      </c>
      <c r="J54" s="179">
        <f t="shared" si="86"/>
        <v>127.65</v>
      </c>
      <c r="K54" s="179">
        <f t="shared" si="86"/>
        <v>127.65</v>
      </c>
      <c r="L54" s="179">
        <f t="shared" si="86"/>
        <v>127.65</v>
      </c>
      <c r="M54" s="179">
        <f t="shared" si="86"/>
        <v>127.65</v>
      </c>
      <c r="N54" s="181">
        <f t="shared" si="86"/>
        <v>127.65</v>
      </c>
      <c r="O54" s="178">
        <f t="shared" si="86"/>
        <v>127.65</v>
      </c>
      <c r="P54" s="179">
        <f t="shared" si="86"/>
        <v>127.65</v>
      </c>
      <c r="Q54" s="179">
        <f t="shared" si="86"/>
        <v>127.65</v>
      </c>
      <c r="R54" s="179">
        <f t="shared" si="86"/>
        <v>127.65</v>
      </c>
      <c r="S54" s="179">
        <f t="shared" si="86"/>
        <v>127.65</v>
      </c>
      <c r="T54" s="179">
        <f t="shared" si="86"/>
        <v>127.65</v>
      </c>
      <c r="U54" s="179">
        <f t="shared" si="86"/>
        <v>127.65</v>
      </c>
      <c r="V54" s="179">
        <f t="shared" si="86"/>
        <v>127.65</v>
      </c>
      <c r="W54" s="179">
        <f t="shared" si="86"/>
        <v>127.65</v>
      </c>
      <c r="X54" s="179">
        <f t="shared" si="86"/>
        <v>127.65</v>
      </c>
      <c r="Y54" s="179">
        <f t="shared" si="86"/>
        <v>127.65</v>
      </c>
      <c r="Z54" s="181">
        <f t="shared" si="86"/>
        <v>127.65</v>
      </c>
      <c r="AA54" s="182">
        <f t="shared" ref="AA54:AJ54" si="87">AA52+AA51</f>
        <v>255.3</v>
      </c>
      <c r="AB54" s="179">
        <f t="shared" si="87"/>
        <v>0</v>
      </c>
      <c r="AC54" s="179">
        <f t="shared" si="87"/>
        <v>255.3</v>
      </c>
      <c r="AD54" s="181">
        <f t="shared" si="87"/>
        <v>382.95000000000005</v>
      </c>
      <c r="AE54" s="159">
        <f t="shared" si="87"/>
        <v>893.55</v>
      </c>
      <c r="AF54" s="178">
        <f t="shared" si="87"/>
        <v>255.3</v>
      </c>
      <c r="AG54" s="179">
        <f t="shared" si="87"/>
        <v>0</v>
      </c>
      <c r="AH54" s="179">
        <f t="shared" si="87"/>
        <v>255.3</v>
      </c>
      <c r="AI54" s="181">
        <f t="shared" si="87"/>
        <v>382.95000000000005</v>
      </c>
      <c r="AJ54" s="156">
        <f t="shared" si="87"/>
        <v>893.55</v>
      </c>
      <c r="AK54" s="240">
        <f t="shared" si="85"/>
        <v>1.2937120861190531E-3</v>
      </c>
    </row>
    <row r="55" spans="2:37" ht="22.15" hidden="1" customHeight="1" outlineLevel="1" x14ac:dyDescent="0.25"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</row>
    <row r="56" spans="2:37" ht="22.15" customHeight="1" collapsed="1" thickBot="1" x14ac:dyDescent="0.3">
      <c r="B56" s="96" t="s">
        <v>71</v>
      </c>
      <c r="C56" s="167">
        <f>SUM(C54,C50)</f>
        <v>10063.825000000001</v>
      </c>
      <c r="D56" s="168">
        <f t="shared" ref="D56:Z56" si="88">SUM(D54,D50)</f>
        <v>63.825000000000003</v>
      </c>
      <c r="E56" s="168">
        <f t="shared" si="88"/>
        <v>63.825000000000003</v>
      </c>
      <c r="F56" s="168">
        <f t="shared" si="88"/>
        <v>63.825000000000003</v>
      </c>
      <c r="G56" s="168">
        <f t="shared" si="88"/>
        <v>63.825000000000003</v>
      </c>
      <c r="H56" s="168">
        <f t="shared" si="88"/>
        <v>191.47500000000002</v>
      </c>
      <c r="I56" s="168">
        <f t="shared" si="88"/>
        <v>191.47500000000002</v>
      </c>
      <c r="J56" s="168">
        <f t="shared" si="88"/>
        <v>191.47500000000002</v>
      </c>
      <c r="K56" s="168">
        <f t="shared" si="88"/>
        <v>191.47500000000002</v>
      </c>
      <c r="L56" s="168">
        <f t="shared" si="88"/>
        <v>191.47500000000002</v>
      </c>
      <c r="M56" s="168">
        <f t="shared" si="88"/>
        <v>191.47500000000002</v>
      </c>
      <c r="N56" s="169">
        <f t="shared" si="88"/>
        <v>191.47500000000002</v>
      </c>
      <c r="O56" s="188">
        <f t="shared" si="88"/>
        <v>10191.475</v>
      </c>
      <c r="P56" s="168">
        <f t="shared" si="88"/>
        <v>191.47500000000002</v>
      </c>
      <c r="Q56" s="168">
        <f t="shared" si="88"/>
        <v>191.47500000000002</v>
      </c>
      <c r="R56" s="168">
        <f t="shared" si="88"/>
        <v>191.47500000000002</v>
      </c>
      <c r="S56" s="168">
        <f t="shared" si="88"/>
        <v>191.47500000000002</v>
      </c>
      <c r="T56" s="168">
        <f t="shared" si="88"/>
        <v>191.47500000000002</v>
      </c>
      <c r="U56" s="168">
        <f t="shared" si="88"/>
        <v>191.47500000000002</v>
      </c>
      <c r="V56" s="168">
        <f t="shared" si="88"/>
        <v>191.47500000000002</v>
      </c>
      <c r="W56" s="168">
        <f t="shared" si="88"/>
        <v>191.47500000000002</v>
      </c>
      <c r="X56" s="168">
        <f t="shared" si="88"/>
        <v>191.47500000000002</v>
      </c>
      <c r="Y56" s="168">
        <f t="shared" si="88"/>
        <v>191.47500000000002</v>
      </c>
      <c r="Z56" s="169">
        <f t="shared" si="88"/>
        <v>191.47500000000002</v>
      </c>
      <c r="AA56" s="167">
        <f t="shared" ref="AA56:AJ56" si="89">SUM(AA54,AA50)</f>
        <v>10446.775</v>
      </c>
      <c r="AB56" s="168">
        <f t="shared" si="89"/>
        <v>191.47500000000002</v>
      </c>
      <c r="AC56" s="168">
        <f t="shared" si="89"/>
        <v>446.77500000000003</v>
      </c>
      <c r="AD56" s="169">
        <f t="shared" si="89"/>
        <v>574.42500000000007</v>
      </c>
      <c r="AE56" s="188">
        <f t="shared" si="89"/>
        <v>11659.449999999999</v>
      </c>
      <c r="AF56" s="167">
        <f t="shared" si="89"/>
        <v>10446.775</v>
      </c>
      <c r="AG56" s="168">
        <f t="shared" si="89"/>
        <v>191.47500000000002</v>
      </c>
      <c r="AH56" s="168">
        <f t="shared" si="89"/>
        <v>446.77500000000003</v>
      </c>
      <c r="AI56" s="169">
        <f t="shared" si="89"/>
        <v>574.42500000000007</v>
      </c>
      <c r="AJ56" s="170">
        <f t="shared" si="89"/>
        <v>11659.449999999999</v>
      </c>
      <c r="AK56" s="61">
        <f t="shared" si="85"/>
        <v>1.6880948332494872E-2</v>
      </c>
    </row>
    <row r="57" spans="2:37" ht="22.15" customHeight="1" thickTop="1" x14ac:dyDescent="0.25"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</row>
    <row r="58" spans="2:37" ht="32.25" customHeight="1" thickBot="1" x14ac:dyDescent="0.3">
      <c r="B58" s="115" t="s">
        <v>72</v>
      </c>
      <c r="C58" s="189">
        <f t="shared" ref="C58:AJ58" si="90">C37+C44+C56</f>
        <v>215026.45</v>
      </c>
      <c r="D58" s="190">
        <f t="shared" si="90"/>
        <v>63.825000000000003</v>
      </c>
      <c r="E58" s="190">
        <f t="shared" si="90"/>
        <v>105473.175</v>
      </c>
      <c r="F58" s="190">
        <f t="shared" si="90"/>
        <v>982.90500000000009</v>
      </c>
      <c r="G58" s="190">
        <f t="shared" si="90"/>
        <v>985.8803006249999</v>
      </c>
      <c r="H58" s="190">
        <f t="shared" si="90"/>
        <v>1116.5175692274868</v>
      </c>
      <c r="I58" s="190">
        <f t="shared" si="90"/>
        <v>185585.879365917</v>
      </c>
      <c r="J58" s="190">
        <f t="shared" si="90"/>
        <v>1122.5282511543805</v>
      </c>
      <c r="K58" s="190">
        <f t="shared" si="90"/>
        <v>106534.90178575389</v>
      </c>
      <c r="L58" s="190">
        <f t="shared" si="90"/>
        <v>1128.587530885447</v>
      </c>
      <c r="M58" s="190">
        <f t="shared" si="90"/>
        <v>1131.6355480770389</v>
      </c>
      <c r="N58" s="191">
        <f t="shared" si="90"/>
        <v>1134.6958992167642</v>
      </c>
      <c r="O58" s="189">
        <f t="shared" si="90"/>
        <v>195604.13114655521</v>
      </c>
      <c r="P58" s="190">
        <f t="shared" si="90"/>
        <v>1140.8538527077799</v>
      </c>
      <c r="Q58" s="190">
        <f t="shared" si="90"/>
        <v>106553.30158065689</v>
      </c>
      <c r="R58" s="190">
        <f t="shared" si="90"/>
        <v>1147.0618937543159</v>
      </c>
      <c r="S58" s="190">
        <f t="shared" si="90"/>
        <v>1150.1848557236624</v>
      </c>
      <c r="T58" s="190">
        <f t="shared" si="90"/>
        <v>1153.3205306625252</v>
      </c>
      <c r="U58" s="190">
        <f t="shared" si="90"/>
        <v>185622.83148304495</v>
      </c>
      <c r="V58" s="190">
        <f t="shared" si="90"/>
        <v>1159.6302777238175</v>
      </c>
      <c r="W58" s="190">
        <f t="shared" si="90"/>
        <v>106572.1544799332</v>
      </c>
      <c r="X58" s="190">
        <f t="shared" si="90"/>
        <v>159280.01665529076</v>
      </c>
      <c r="Y58" s="190">
        <f t="shared" si="90"/>
        <v>1169.1918698002887</v>
      </c>
      <c r="Z58" s="191">
        <f t="shared" si="90"/>
        <v>1172.4051898539965</v>
      </c>
      <c r="AA58" s="189">
        <f t="shared" si="90"/>
        <v>217292.78144729379</v>
      </c>
      <c r="AB58" s="190">
        <f t="shared" si="90"/>
        <v>106519.90500000001</v>
      </c>
      <c r="AC58" s="190">
        <f t="shared" si="90"/>
        <v>187688.27723576949</v>
      </c>
      <c r="AD58" s="191">
        <f t="shared" si="90"/>
        <v>108786.01756779371</v>
      </c>
      <c r="AE58" s="192">
        <f t="shared" si="90"/>
        <v>620286.981250857</v>
      </c>
      <c r="AF58" s="189">
        <f t="shared" si="90"/>
        <v>197818.07820620949</v>
      </c>
      <c r="AG58" s="190">
        <f t="shared" si="90"/>
        <v>108458.26732711897</v>
      </c>
      <c r="AH58" s="190">
        <f t="shared" si="90"/>
        <v>187798.68686943111</v>
      </c>
      <c r="AI58" s="193">
        <f t="shared" si="90"/>
        <v>267011.80141294777</v>
      </c>
      <c r="AJ58" s="192">
        <f t="shared" si="90"/>
        <v>761086.83381570724</v>
      </c>
    </row>
    <row r="59" spans="2:37" ht="32.25" customHeight="1" thickTop="1" x14ac:dyDescent="0.25">
      <c r="B59" s="1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spans="2:37" ht="30" customHeight="1" thickTop="1" x14ac:dyDescent="0.25">
      <c r="B60" s="143" t="s">
        <v>77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116"/>
      <c r="AB60" s="116"/>
      <c r="AC60" s="116"/>
      <c r="AD60" s="116"/>
      <c r="AE60" s="74"/>
      <c r="AF60" s="116"/>
      <c r="AG60" s="116"/>
      <c r="AH60" s="116"/>
      <c r="AI60" s="116"/>
      <c r="AJ60" s="74"/>
    </row>
    <row r="62" spans="2:37" ht="22.15" customHeight="1" x14ac:dyDescent="0.25">
      <c r="B62" s="89" t="s">
        <v>78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6" t="s">
        <v>134</v>
      </c>
    </row>
    <row r="63" spans="2:37" ht="22.15" hidden="1" customHeight="1" outlineLevel="1" x14ac:dyDescent="0.25">
      <c r="B63" s="90" t="s">
        <v>31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spans="2:37" ht="22.15" hidden="1" customHeight="1" outlineLevel="1" x14ac:dyDescent="0.25">
      <c r="B64" s="91" t="s">
        <v>45</v>
      </c>
      <c r="C64" s="144">
        <f>((INDEX(Assumptions!$C$8:$C$46,MATCH("Total Twin",Assumptions!$A$8:$A$46,0)))*((C$10+C$11)*INDEX(Assumptions!$E$60:$E$65,MATCH('Cash flow forecast'!$B64,Assumptions!$A$60:$A$65,0))))</f>
        <v>6851.25</v>
      </c>
      <c r="D64" s="145">
        <f>((INDEX(Assumptions!$C$8:$C$46,MATCH("Total Twin",Assumptions!$A$8:$A$46,0)))*((D$10+D$11)*INDEX(Assumptions!$E$60:$E$65,MATCH('Cash flow forecast'!$B64,Assumptions!$A$60:$A$65,0))))</f>
        <v>0</v>
      </c>
      <c r="E64" s="145">
        <f>((INDEX(Assumptions!$C$8:$C$46,MATCH("Total Twin",Assumptions!$A$8:$A$46,0)))*((E$10+E$11)*INDEX(Assumptions!$E$60:$E$65,MATCH('Cash flow forecast'!$B64,Assumptions!$A$60:$A$65,0))))</f>
        <v>2740.5</v>
      </c>
      <c r="F64" s="145">
        <f>((INDEX(Assumptions!$C$8:$C$46,MATCH("Total Twin",Assumptions!$A$8:$A$46,0)))*((F$10+F$11)*INDEX(Assumptions!$E$60:$E$65,MATCH('Cash flow forecast'!$B64,Assumptions!$A$60:$A$65,0))))</f>
        <v>0</v>
      </c>
      <c r="G64" s="145">
        <f>((INDEX(Assumptions!$C$8:$C$46,MATCH("Total Twin",Assumptions!$A$8:$A$46,0)))*((G$10+G$11)*INDEX(Assumptions!$E$60:$E$65,MATCH('Cash flow forecast'!$B64,Assumptions!$A$60:$A$65,0))))</f>
        <v>0</v>
      </c>
      <c r="H64" s="145">
        <f>((INDEX(Assumptions!$C$8:$C$46,MATCH("Total Twin",Assumptions!$A$8:$A$46,0)))*((H$10+H$11)*INDEX(Assumptions!$E$60:$E$65,MATCH('Cash flow forecast'!$B64,Assumptions!$A$60:$A$65,0))))</f>
        <v>0</v>
      </c>
      <c r="I64" s="145">
        <f>((INDEX(Assumptions!$C$8:$C$46,MATCH("Total Twin",Assumptions!$A$8:$A$46,0)))*((I$10+I$11)*INDEX(Assumptions!$E$60:$E$65,MATCH('Cash flow forecast'!$B64,Assumptions!$A$60:$A$65,0))))</f>
        <v>6851.25</v>
      </c>
      <c r="J64" s="145">
        <f>((INDEX(Assumptions!$C$8:$C$46,MATCH("Total Twin",Assumptions!$A$8:$A$46,0)))*((J$10+J$11)*INDEX(Assumptions!$E$60:$E$65,MATCH('Cash flow forecast'!$B64,Assumptions!$A$60:$A$65,0))))</f>
        <v>0</v>
      </c>
      <c r="K64" s="145">
        <f>((INDEX(Assumptions!$C$8:$C$46,MATCH("Total Twin",Assumptions!$A$8:$A$46,0)))*((K$10+K$11)*INDEX(Assumptions!$E$60:$E$65,MATCH('Cash flow forecast'!$B64,Assumptions!$A$60:$A$65,0))))</f>
        <v>2740.5</v>
      </c>
      <c r="L64" s="145">
        <f>((INDEX(Assumptions!$C$8:$C$46,MATCH("Total Twin",Assumptions!$A$8:$A$46,0)))*((L$10+L$11)*INDEX(Assumptions!$E$60:$E$65,MATCH('Cash flow forecast'!$B64,Assumptions!$A$60:$A$65,0))))</f>
        <v>0</v>
      </c>
      <c r="M64" s="145">
        <f>((INDEX(Assumptions!$C$8:$C$46,MATCH("Total Twin",Assumptions!$A$8:$A$46,0)))*((M$10+M$11)*INDEX(Assumptions!$E$60:$E$65,MATCH('Cash flow forecast'!$B64,Assumptions!$A$60:$A$65,0))))</f>
        <v>0</v>
      </c>
      <c r="N64" s="146">
        <f>((INDEX(Assumptions!$C$8:$C$46,MATCH("Total Twin",Assumptions!$A$8:$A$46,0)))*((N$10+N$11)*INDEX(Assumptions!$E$60:$E$65,MATCH('Cash flow forecast'!$B64,Assumptions!$A$60:$A$65,0))))</f>
        <v>0</v>
      </c>
      <c r="O64" s="147">
        <f>((INDEX(Assumptions!$C$8:$C$46,MATCH("Total Twin",Assumptions!$A$8:$A$46,0)))*((O$10+O$11)*INDEX(Assumptions!$E$60:$E$65,MATCH('Cash flow forecast'!$B64,Assumptions!$A$60:$A$65,0))))</f>
        <v>6851.25</v>
      </c>
      <c r="P64" s="145">
        <f>((INDEX(Assumptions!$C$8:$C$46,MATCH("Total Twin",Assumptions!$A$8:$A$46,0)))*((P$10+P$11)*INDEX(Assumptions!$E$60:$E$65,MATCH('Cash flow forecast'!$B64,Assumptions!$A$60:$A$65,0))))</f>
        <v>0</v>
      </c>
      <c r="Q64" s="145">
        <f>((INDEX(Assumptions!$C$8:$C$46,MATCH("Total Twin",Assumptions!$A$8:$A$46,0)))*((Q$10+Q$11)*INDEX(Assumptions!$E$60:$E$65,MATCH('Cash flow forecast'!$B64,Assumptions!$A$60:$A$65,0))))</f>
        <v>2740.5</v>
      </c>
      <c r="R64" s="145">
        <f>((INDEX(Assumptions!$C$8:$C$46,MATCH("Total Twin",Assumptions!$A$8:$A$46,0)))*((R$10+R$11)*INDEX(Assumptions!$E$60:$E$65,MATCH('Cash flow forecast'!$B64,Assumptions!$A$60:$A$65,0))))</f>
        <v>0</v>
      </c>
      <c r="S64" s="145">
        <f>((INDEX(Assumptions!$C$8:$C$46,MATCH("Total Twin",Assumptions!$A$8:$A$46,0)))*((S$10+S$11)*INDEX(Assumptions!$E$60:$E$65,MATCH('Cash flow forecast'!$B64,Assumptions!$A$60:$A$65,0))))</f>
        <v>0</v>
      </c>
      <c r="T64" s="145">
        <f>((INDEX(Assumptions!$C$8:$C$46,MATCH("Total Twin",Assumptions!$A$8:$A$46,0)))*((T$10+T$11)*INDEX(Assumptions!$E$60:$E$65,MATCH('Cash flow forecast'!$B64,Assumptions!$A$60:$A$65,0))))</f>
        <v>0</v>
      </c>
      <c r="U64" s="145">
        <f>((INDEX(Assumptions!$C$8:$C$46,MATCH("Total Twin",Assumptions!$A$8:$A$46,0)))*((U$10+U$11)*INDEX(Assumptions!$E$60:$E$65,MATCH('Cash flow forecast'!$B64,Assumptions!$A$60:$A$65,0))))</f>
        <v>6851.25</v>
      </c>
      <c r="V64" s="145">
        <f>((INDEX(Assumptions!$C$8:$C$46,MATCH("Total Twin",Assumptions!$A$8:$A$46,0)))*((V$10+V$11)*INDEX(Assumptions!$E$60:$E$65,MATCH('Cash flow forecast'!$B64,Assumptions!$A$60:$A$65,0))))</f>
        <v>0</v>
      </c>
      <c r="W64" s="145">
        <f>((INDEX(Assumptions!$C$8:$C$46,MATCH("Total Twin",Assumptions!$A$8:$A$46,0)))*((W$10+W$11)*INDEX(Assumptions!$E$60:$E$65,MATCH('Cash flow forecast'!$B64,Assumptions!$A$60:$A$65,0))))</f>
        <v>2740.5</v>
      </c>
      <c r="X64" s="145">
        <f>((INDEX(Assumptions!$C$8:$C$46,MATCH("Total Twin",Assumptions!$A$8:$A$46,0)))*((X$10+X$11)*INDEX(Assumptions!$E$60:$E$65,MATCH('Cash flow forecast'!$B64,Assumptions!$A$60:$A$65,0))))</f>
        <v>6851.25</v>
      </c>
      <c r="Y64" s="145">
        <f>((INDEX(Assumptions!$C$8:$C$46,MATCH("Total Twin",Assumptions!$A$8:$A$46,0)))*((Y$10+Y$11)*INDEX(Assumptions!$E$60:$E$65,MATCH('Cash flow forecast'!$B64,Assumptions!$A$60:$A$65,0))))</f>
        <v>0</v>
      </c>
      <c r="Z64" s="146">
        <f>((INDEX(Assumptions!$C$8:$C$46,MATCH("Total Twin",Assumptions!$A$8:$A$46,0)))*((Z$10+Z$11)*INDEX(Assumptions!$E$60:$E$65,MATCH('Cash flow forecast'!$B64,Assumptions!$A$60:$A$65,0))))</f>
        <v>0</v>
      </c>
      <c r="AA64" s="144">
        <f t="shared" ref="AA64:AD68" si="91">SUMIFS($C64:$N64,$C$6:$N$6,AA$5)</f>
        <v>6851.25</v>
      </c>
      <c r="AB64" s="145">
        <f t="shared" si="91"/>
        <v>2740.5</v>
      </c>
      <c r="AC64" s="145">
        <f t="shared" si="91"/>
        <v>6851.25</v>
      </c>
      <c r="AD64" s="146">
        <f t="shared" si="91"/>
        <v>2740.5</v>
      </c>
      <c r="AE64" s="148">
        <f t="shared" ref="AE64:AE83" si="92">SUM($C64:$N64)</f>
        <v>19183.5</v>
      </c>
      <c r="AF64" s="144">
        <f>SUMIFS($O64:$Z64,$O$6:$Z$6,AF$5)</f>
        <v>6851.25</v>
      </c>
      <c r="AG64" s="145">
        <f t="shared" ref="AG64:AI68" si="93">SUMIFS($O64:$Z64,$O$6:$Z$6,AG$5)</f>
        <v>2740.5</v>
      </c>
      <c r="AH64" s="145">
        <f t="shared" si="93"/>
        <v>6851.25</v>
      </c>
      <c r="AI64" s="146">
        <f t="shared" si="93"/>
        <v>9591.75</v>
      </c>
      <c r="AJ64" s="149">
        <f>SUM($O64:$Z64)</f>
        <v>26034.75</v>
      </c>
      <c r="AK64" s="238">
        <f>AVERAGE(AE64,AJ64)/AVERAGE($AE$106,$AJ$106)</f>
        <v>4.5809593893611306E-2</v>
      </c>
    </row>
    <row r="65" spans="2:37" ht="22.15" hidden="1" customHeight="1" outlineLevel="1" x14ac:dyDescent="0.25">
      <c r="B65" s="91" t="s">
        <v>46</v>
      </c>
      <c r="C65" s="150">
        <f>((INDEX(Assumptions!$C$8:$C$46,MATCH("Total Full",Assumptions!$A$8:$A$46,0)))*((C$10+C$11)*INDEX(Assumptions!$E$60:$E$65,MATCH('Cash flow forecast'!$B65,Assumptions!$A$60:$A$65,0))))</f>
        <v>0</v>
      </c>
      <c r="D65" s="151">
        <f>((INDEX(Assumptions!$C$8:$C$46,MATCH("Total Full",Assumptions!$A$8:$A$46,0)))*((D$10+D$11)*INDEX(Assumptions!$E$60:$E$65,MATCH('Cash flow forecast'!$B65,Assumptions!$A$60:$A$65,0))))</f>
        <v>0</v>
      </c>
      <c r="E65" s="151">
        <f>((INDEX(Assumptions!$C$8:$C$46,MATCH("Total Full",Assumptions!$A$8:$A$46,0)))*((E$10+E$11)*INDEX(Assumptions!$E$60:$E$65,MATCH('Cash flow forecast'!$B65,Assumptions!$A$60:$A$65,0))))</f>
        <v>0</v>
      </c>
      <c r="F65" s="151">
        <f>((INDEX(Assumptions!$C$8:$C$46,MATCH("Total Full",Assumptions!$A$8:$A$46,0)))*((F$10+F$11)*INDEX(Assumptions!$E$60:$E$65,MATCH('Cash flow forecast'!$B65,Assumptions!$A$60:$A$65,0))))</f>
        <v>0</v>
      </c>
      <c r="G65" s="151">
        <f>((INDEX(Assumptions!$C$8:$C$46,MATCH("Total Full",Assumptions!$A$8:$A$46,0)))*((G$10+G$11)*INDEX(Assumptions!$E$60:$E$65,MATCH('Cash flow forecast'!$B65,Assumptions!$A$60:$A$65,0))))</f>
        <v>0</v>
      </c>
      <c r="H65" s="151">
        <f>((INDEX(Assumptions!$C$8:$C$46,MATCH("Total Full",Assumptions!$A$8:$A$46,0)))*((H$10+H$11)*INDEX(Assumptions!$E$60:$E$65,MATCH('Cash flow forecast'!$B65,Assumptions!$A$60:$A$65,0))))</f>
        <v>0</v>
      </c>
      <c r="I65" s="151">
        <f>((INDEX(Assumptions!$C$8:$C$46,MATCH("Total Full",Assumptions!$A$8:$A$46,0)))*((I$10+I$11)*INDEX(Assumptions!$E$60:$E$65,MATCH('Cash flow forecast'!$B65,Assumptions!$A$60:$A$65,0))))</f>
        <v>0</v>
      </c>
      <c r="J65" s="151">
        <f>((INDEX(Assumptions!$C$8:$C$46,MATCH("Total Full",Assumptions!$A$8:$A$46,0)))*((J$10+J$11)*INDEX(Assumptions!$E$60:$E$65,MATCH('Cash flow forecast'!$B65,Assumptions!$A$60:$A$65,0))))</f>
        <v>0</v>
      </c>
      <c r="K65" s="151">
        <f>((INDEX(Assumptions!$C$8:$C$46,MATCH("Total Full",Assumptions!$A$8:$A$46,0)))*((K$10+K$11)*INDEX(Assumptions!$E$60:$E$65,MATCH('Cash flow forecast'!$B65,Assumptions!$A$60:$A$65,0))))</f>
        <v>0</v>
      </c>
      <c r="L65" s="151">
        <f>((INDEX(Assumptions!$C$8:$C$46,MATCH("Total Full",Assumptions!$A$8:$A$46,0)))*((L$10+L$11)*INDEX(Assumptions!$E$60:$E$65,MATCH('Cash flow forecast'!$B65,Assumptions!$A$60:$A$65,0))))</f>
        <v>0</v>
      </c>
      <c r="M65" s="151">
        <f>((INDEX(Assumptions!$C$8:$C$46,MATCH("Total Full",Assumptions!$A$8:$A$46,0)))*((M$10+M$11)*INDEX(Assumptions!$E$60:$E$65,MATCH('Cash flow forecast'!$B65,Assumptions!$A$60:$A$65,0))))</f>
        <v>0</v>
      </c>
      <c r="N65" s="152">
        <f>((INDEX(Assumptions!$C$8:$C$46,MATCH("Total Full",Assumptions!$A$8:$A$46,0)))*((N$10+N$11)*INDEX(Assumptions!$E$60:$E$65,MATCH('Cash flow forecast'!$B65,Assumptions!$A$60:$A$65,0))))</f>
        <v>0</v>
      </c>
      <c r="O65" s="153">
        <f>((INDEX(Assumptions!$C$8:$C$46,MATCH("Total Full",Assumptions!$A$8:$A$46,0)))*((O$10+O$11)*INDEX(Assumptions!$E$60:$E$65,MATCH('Cash flow forecast'!$B65,Assumptions!$A$60:$A$65,0))))</f>
        <v>0</v>
      </c>
      <c r="P65" s="151">
        <f>((INDEX(Assumptions!$C$8:$C$46,MATCH("Total Full",Assumptions!$A$8:$A$46,0)))*((P$10+P$11)*INDEX(Assumptions!$E$60:$E$65,MATCH('Cash flow forecast'!$B65,Assumptions!$A$60:$A$65,0))))</f>
        <v>0</v>
      </c>
      <c r="Q65" s="151">
        <f>((INDEX(Assumptions!$C$8:$C$46,MATCH("Total Full",Assumptions!$A$8:$A$46,0)))*((Q$10+Q$11)*INDEX(Assumptions!$E$60:$E$65,MATCH('Cash flow forecast'!$B65,Assumptions!$A$60:$A$65,0))))</f>
        <v>0</v>
      </c>
      <c r="R65" s="151">
        <f>((INDEX(Assumptions!$C$8:$C$46,MATCH("Total Full",Assumptions!$A$8:$A$46,0)))*((R$10+R$11)*INDEX(Assumptions!$E$60:$E$65,MATCH('Cash flow forecast'!$B65,Assumptions!$A$60:$A$65,0))))</f>
        <v>0</v>
      </c>
      <c r="S65" s="151">
        <f>((INDEX(Assumptions!$C$8:$C$46,MATCH("Total Full",Assumptions!$A$8:$A$46,0)))*((S$10+S$11)*INDEX(Assumptions!$E$60:$E$65,MATCH('Cash flow forecast'!$B65,Assumptions!$A$60:$A$65,0))))</f>
        <v>0</v>
      </c>
      <c r="T65" s="151">
        <f>((INDEX(Assumptions!$C$8:$C$46,MATCH("Total Full",Assumptions!$A$8:$A$46,0)))*((T$10+T$11)*INDEX(Assumptions!$E$60:$E$65,MATCH('Cash flow forecast'!$B65,Assumptions!$A$60:$A$65,0))))</f>
        <v>0</v>
      </c>
      <c r="U65" s="151">
        <f>((INDEX(Assumptions!$C$8:$C$46,MATCH("Total Full",Assumptions!$A$8:$A$46,0)))*((U$10+U$11)*INDEX(Assumptions!$E$60:$E$65,MATCH('Cash flow forecast'!$B65,Assumptions!$A$60:$A$65,0))))</f>
        <v>0</v>
      </c>
      <c r="V65" s="151">
        <f>((INDEX(Assumptions!$C$8:$C$46,MATCH("Total Full",Assumptions!$A$8:$A$46,0)))*((V$10+V$11)*INDEX(Assumptions!$E$60:$E$65,MATCH('Cash flow forecast'!$B65,Assumptions!$A$60:$A$65,0))))</f>
        <v>0</v>
      </c>
      <c r="W65" s="151">
        <f>((INDEX(Assumptions!$C$8:$C$46,MATCH("Total Full",Assumptions!$A$8:$A$46,0)))*((W$10+W$11)*INDEX(Assumptions!$E$60:$E$65,MATCH('Cash flow forecast'!$B65,Assumptions!$A$60:$A$65,0))))</f>
        <v>0</v>
      </c>
      <c r="X65" s="151">
        <f>((INDEX(Assumptions!$C$8:$C$46,MATCH("Total Full",Assumptions!$A$8:$A$46,0)))*((X$10+X$11)*INDEX(Assumptions!$E$60:$E$65,MATCH('Cash flow forecast'!$B65,Assumptions!$A$60:$A$65,0))))</f>
        <v>0</v>
      </c>
      <c r="Y65" s="151">
        <f>((INDEX(Assumptions!$C$8:$C$46,MATCH("Total Full",Assumptions!$A$8:$A$46,0)))*((Y$10+Y$11)*INDEX(Assumptions!$E$60:$E$65,MATCH('Cash flow forecast'!$B65,Assumptions!$A$60:$A$65,0))))</f>
        <v>0</v>
      </c>
      <c r="Z65" s="152">
        <f>((INDEX(Assumptions!$C$8:$C$46,MATCH("Total Full",Assumptions!$A$8:$A$46,0)))*((Z$10+Z$11)*INDEX(Assumptions!$E$60:$E$65,MATCH('Cash flow forecast'!$B65,Assumptions!$A$60:$A$65,0))))</f>
        <v>0</v>
      </c>
      <c r="AA65" s="150">
        <f t="shared" si="91"/>
        <v>0</v>
      </c>
      <c r="AB65" s="151">
        <f t="shared" si="91"/>
        <v>0</v>
      </c>
      <c r="AC65" s="151">
        <f t="shared" si="91"/>
        <v>0</v>
      </c>
      <c r="AD65" s="152">
        <f t="shared" si="91"/>
        <v>0</v>
      </c>
      <c r="AE65" s="154">
        <f t="shared" si="92"/>
        <v>0</v>
      </c>
      <c r="AF65" s="150">
        <f t="shared" ref="AF65:AF68" si="94">SUMIFS($O65:$Z65,$O$6:$Z$6,AF$5)</f>
        <v>0</v>
      </c>
      <c r="AG65" s="151">
        <f t="shared" si="93"/>
        <v>0</v>
      </c>
      <c r="AH65" s="151">
        <f t="shared" si="93"/>
        <v>0</v>
      </c>
      <c r="AI65" s="152">
        <f t="shared" si="93"/>
        <v>0</v>
      </c>
      <c r="AJ65" s="155">
        <f t="shared" ref="AJ65:AJ69" si="95">SUM($O65:$Z65)</f>
        <v>0</v>
      </c>
      <c r="AK65" s="60">
        <f t="shared" ref="AK65:AK104" si="96">AVERAGE(AE65,AJ65)/AVERAGE($AE$106,$AJ$106)</f>
        <v>0</v>
      </c>
    </row>
    <row r="66" spans="2:37" ht="22.15" hidden="1" customHeight="1" outlineLevel="1" x14ac:dyDescent="0.25">
      <c r="B66" s="91" t="s">
        <v>47</v>
      </c>
      <c r="C66" s="150">
        <f>((INDEX(Assumptions!$C$8:$C$46,MATCH("Total Queen",Assumptions!$A$8:$A$46,0)))*((C$10+C$11)*INDEX(Assumptions!$E$60:$E$65,MATCH('Cash flow forecast'!$B66,Assumptions!$A$60:$A$65,0))))</f>
        <v>78000</v>
      </c>
      <c r="D66" s="151">
        <f>((INDEX(Assumptions!$C$8:$C$46,MATCH("Total Queen",Assumptions!$A$8:$A$46,0)))*((D$10+D$11)*INDEX(Assumptions!$E$60:$E$65,MATCH('Cash flow forecast'!$B66,Assumptions!$A$60:$A$65,0))))</f>
        <v>0</v>
      </c>
      <c r="E66" s="151">
        <f>((INDEX(Assumptions!$C$8:$C$46,MATCH("Total Queen",Assumptions!$A$8:$A$46,0)))*((E$10+E$11)*INDEX(Assumptions!$E$60:$E$65,MATCH('Cash flow forecast'!$B66,Assumptions!$A$60:$A$65,0))))</f>
        <v>31200</v>
      </c>
      <c r="F66" s="151">
        <f>((INDEX(Assumptions!$C$8:$C$46,MATCH("Total Queen",Assumptions!$A$8:$A$46,0)))*((F$10+F$11)*INDEX(Assumptions!$E$60:$E$65,MATCH('Cash flow forecast'!$B66,Assumptions!$A$60:$A$65,0))))</f>
        <v>0</v>
      </c>
      <c r="G66" s="151">
        <f>((INDEX(Assumptions!$C$8:$C$46,MATCH("Total Queen",Assumptions!$A$8:$A$46,0)))*((G$10+G$11)*INDEX(Assumptions!$E$60:$E$65,MATCH('Cash flow forecast'!$B66,Assumptions!$A$60:$A$65,0))))</f>
        <v>0</v>
      </c>
      <c r="H66" s="151">
        <f>((INDEX(Assumptions!$C$8:$C$46,MATCH("Total Queen",Assumptions!$A$8:$A$46,0)))*((H$10+H$11)*INDEX(Assumptions!$E$60:$E$65,MATCH('Cash flow forecast'!$B66,Assumptions!$A$60:$A$65,0))))</f>
        <v>0</v>
      </c>
      <c r="I66" s="151">
        <f>((INDEX(Assumptions!$C$8:$C$46,MATCH("Total Queen",Assumptions!$A$8:$A$46,0)))*((I$10+I$11)*INDEX(Assumptions!$E$60:$E$65,MATCH('Cash flow forecast'!$B66,Assumptions!$A$60:$A$65,0))))</f>
        <v>78000</v>
      </c>
      <c r="J66" s="151">
        <f>((INDEX(Assumptions!$C$8:$C$46,MATCH("Total Queen",Assumptions!$A$8:$A$46,0)))*((J$10+J$11)*INDEX(Assumptions!$E$60:$E$65,MATCH('Cash flow forecast'!$B66,Assumptions!$A$60:$A$65,0))))</f>
        <v>0</v>
      </c>
      <c r="K66" s="151">
        <f>((INDEX(Assumptions!$C$8:$C$46,MATCH("Total Queen",Assumptions!$A$8:$A$46,0)))*((K$10+K$11)*INDEX(Assumptions!$E$60:$E$65,MATCH('Cash flow forecast'!$B66,Assumptions!$A$60:$A$65,0))))</f>
        <v>31200</v>
      </c>
      <c r="L66" s="151">
        <f>((INDEX(Assumptions!$C$8:$C$46,MATCH("Total Queen",Assumptions!$A$8:$A$46,0)))*((L$10+L$11)*INDEX(Assumptions!$E$60:$E$65,MATCH('Cash flow forecast'!$B66,Assumptions!$A$60:$A$65,0))))</f>
        <v>0</v>
      </c>
      <c r="M66" s="151">
        <f>((INDEX(Assumptions!$C$8:$C$46,MATCH("Total Queen",Assumptions!$A$8:$A$46,0)))*((M$10+M$11)*INDEX(Assumptions!$E$60:$E$65,MATCH('Cash flow forecast'!$B66,Assumptions!$A$60:$A$65,0))))</f>
        <v>0</v>
      </c>
      <c r="N66" s="152">
        <f>((INDEX(Assumptions!$C$8:$C$46,MATCH("Total Queen",Assumptions!$A$8:$A$46,0)))*((N$10+N$11)*INDEX(Assumptions!$E$60:$E$65,MATCH('Cash flow forecast'!$B66,Assumptions!$A$60:$A$65,0))))</f>
        <v>0</v>
      </c>
      <c r="O66" s="153">
        <f>((INDEX(Assumptions!$C$8:$C$46,MATCH("Total Queen",Assumptions!$A$8:$A$46,0)))*((O$10+O$11)*INDEX(Assumptions!$E$60:$E$65,MATCH('Cash flow forecast'!$B66,Assumptions!$A$60:$A$65,0))))</f>
        <v>78000</v>
      </c>
      <c r="P66" s="151">
        <f>((INDEX(Assumptions!$C$8:$C$46,MATCH("Total Queen",Assumptions!$A$8:$A$46,0)))*((P$10+P$11)*INDEX(Assumptions!$E$60:$E$65,MATCH('Cash flow forecast'!$B66,Assumptions!$A$60:$A$65,0))))</f>
        <v>0</v>
      </c>
      <c r="Q66" s="151">
        <f>((INDEX(Assumptions!$C$8:$C$46,MATCH("Total Queen",Assumptions!$A$8:$A$46,0)))*((Q$10+Q$11)*INDEX(Assumptions!$E$60:$E$65,MATCH('Cash flow forecast'!$B66,Assumptions!$A$60:$A$65,0))))</f>
        <v>31200</v>
      </c>
      <c r="R66" s="151">
        <f>((INDEX(Assumptions!$C$8:$C$46,MATCH("Total Queen",Assumptions!$A$8:$A$46,0)))*((R$10+R$11)*INDEX(Assumptions!$E$60:$E$65,MATCH('Cash flow forecast'!$B66,Assumptions!$A$60:$A$65,0))))</f>
        <v>0</v>
      </c>
      <c r="S66" s="151">
        <f>((INDEX(Assumptions!$C$8:$C$46,MATCH("Total Queen",Assumptions!$A$8:$A$46,0)))*((S$10+S$11)*INDEX(Assumptions!$E$60:$E$65,MATCH('Cash flow forecast'!$B66,Assumptions!$A$60:$A$65,0))))</f>
        <v>0</v>
      </c>
      <c r="T66" s="151">
        <f>((INDEX(Assumptions!$C$8:$C$46,MATCH("Total Queen",Assumptions!$A$8:$A$46,0)))*((T$10+T$11)*INDEX(Assumptions!$E$60:$E$65,MATCH('Cash flow forecast'!$B66,Assumptions!$A$60:$A$65,0))))</f>
        <v>0</v>
      </c>
      <c r="U66" s="151">
        <f>((INDEX(Assumptions!$C$8:$C$46,MATCH("Total Queen",Assumptions!$A$8:$A$46,0)))*((U$10+U$11)*INDEX(Assumptions!$E$60:$E$65,MATCH('Cash flow forecast'!$B66,Assumptions!$A$60:$A$65,0))))</f>
        <v>78000</v>
      </c>
      <c r="V66" s="151">
        <f>((INDEX(Assumptions!$C$8:$C$46,MATCH("Total Queen",Assumptions!$A$8:$A$46,0)))*((V$10+V$11)*INDEX(Assumptions!$E$60:$E$65,MATCH('Cash flow forecast'!$B66,Assumptions!$A$60:$A$65,0))))</f>
        <v>0</v>
      </c>
      <c r="W66" s="151">
        <f>((INDEX(Assumptions!$C$8:$C$46,MATCH("Total Queen",Assumptions!$A$8:$A$46,0)))*((W$10+W$11)*INDEX(Assumptions!$E$60:$E$65,MATCH('Cash flow forecast'!$B66,Assumptions!$A$60:$A$65,0))))</f>
        <v>31200</v>
      </c>
      <c r="X66" s="151">
        <f>((INDEX(Assumptions!$C$8:$C$46,MATCH("Total Queen",Assumptions!$A$8:$A$46,0)))*((X$10+X$11)*INDEX(Assumptions!$E$60:$E$65,MATCH('Cash flow forecast'!$B66,Assumptions!$A$60:$A$65,0))))</f>
        <v>78000</v>
      </c>
      <c r="Y66" s="151">
        <f>((INDEX(Assumptions!$C$8:$C$46,MATCH("Total Queen",Assumptions!$A$8:$A$46,0)))*((Y$10+Y$11)*INDEX(Assumptions!$E$60:$E$65,MATCH('Cash flow forecast'!$B66,Assumptions!$A$60:$A$65,0))))</f>
        <v>0</v>
      </c>
      <c r="Z66" s="152">
        <f>((INDEX(Assumptions!$C$8:$C$46,MATCH("Total Queen",Assumptions!$A$8:$A$46,0)))*((Z$10+Z$11)*INDEX(Assumptions!$E$60:$E$65,MATCH('Cash flow forecast'!$B66,Assumptions!$A$60:$A$65,0))))</f>
        <v>0</v>
      </c>
      <c r="AA66" s="150">
        <f t="shared" si="91"/>
        <v>78000</v>
      </c>
      <c r="AB66" s="151">
        <f t="shared" si="91"/>
        <v>31200</v>
      </c>
      <c r="AC66" s="151">
        <f t="shared" si="91"/>
        <v>78000</v>
      </c>
      <c r="AD66" s="152">
        <f t="shared" si="91"/>
        <v>31200</v>
      </c>
      <c r="AE66" s="154">
        <f t="shared" si="92"/>
        <v>218400</v>
      </c>
      <c r="AF66" s="150">
        <f t="shared" si="94"/>
        <v>78000</v>
      </c>
      <c r="AG66" s="151">
        <f t="shared" si="93"/>
        <v>31200</v>
      </c>
      <c r="AH66" s="151">
        <f t="shared" si="93"/>
        <v>78000</v>
      </c>
      <c r="AI66" s="152">
        <f t="shared" si="93"/>
        <v>109200</v>
      </c>
      <c r="AJ66" s="155">
        <f t="shared" si="95"/>
        <v>296400</v>
      </c>
      <c r="AK66" s="60">
        <f t="shared" si="96"/>
        <v>0.52153232237937341</v>
      </c>
    </row>
    <row r="67" spans="2:37" ht="22.15" hidden="1" customHeight="1" outlineLevel="1" x14ac:dyDescent="0.25">
      <c r="B67" s="91" t="s">
        <v>48</v>
      </c>
      <c r="C67" s="150">
        <f>((INDEX(Assumptions!$C$8:$C$46,MATCH("Total King",Assumptions!$A$8:$A$46,0)))*((C$10+C$11)*INDEX(Assumptions!$E$60:$E$65,MATCH('Cash flow forecast'!$B67,Assumptions!$A$60:$A$65,0))))</f>
        <v>12750</v>
      </c>
      <c r="D67" s="151">
        <f>((INDEX(Assumptions!$C$8:$C$46,MATCH("Total King",Assumptions!$A$8:$A$46,0)))*((D$10+D$11)*INDEX(Assumptions!$E$60:$E$65,MATCH('Cash flow forecast'!$B67,Assumptions!$A$60:$A$65,0))))</f>
        <v>0</v>
      </c>
      <c r="E67" s="151">
        <f>((INDEX(Assumptions!$C$8:$C$46,MATCH("Total King",Assumptions!$A$8:$A$46,0)))*((E$10+E$11)*INDEX(Assumptions!$E$60:$E$65,MATCH('Cash flow forecast'!$B67,Assumptions!$A$60:$A$65,0))))</f>
        <v>5100</v>
      </c>
      <c r="F67" s="151">
        <f>((INDEX(Assumptions!$C$8:$C$46,MATCH("Total King",Assumptions!$A$8:$A$46,0)))*((F$10+F$11)*INDEX(Assumptions!$E$60:$E$65,MATCH('Cash flow forecast'!$B67,Assumptions!$A$60:$A$65,0))))</f>
        <v>0</v>
      </c>
      <c r="G67" s="151">
        <f>((INDEX(Assumptions!$C$8:$C$46,MATCH("Total King",Assumptions!$A$8:$A$46,0)))*((G$10+G$11)*INDEX(Assumptions!$E$60:$E$65,MATCH('Cash flow forecast'!$B67,Assumptions!$A$60:$A$65,0))))</f>
        <v>0</v>
      </c>
      <c r="H67" s="151">
        <f>((INDEX(Assumptions!$C$8:$C$46,MATCH("Total King",Assumptions!$A$8:$A$46,0)))*((H$10+H$11)*INDEX(Assumptions!$E$60:$E$65,MATCH('Cash flow forecast'!$B67,Assumptions!$A$60:$A$65,0))))</f>
        <v>0</v>
      </c>
      <c r="I67" s="151">
        <f>((INDEX(Assumptions!$C$8:$C$46,MATCH("Total King",Assumptions!$A$8:$A$46,0)))*((I$10+I$11)*INDEX(Assumptions!$E$60:$E$65,MATCH('Cash flow forecast'!$B67,Assumptions!$A$60:$A$65,0))))</f>
        <v>12750</v>
      </c>
      <c r="J67" s="151">
        <f>((INDEX(Assumptions!$C$8:$C$46,MATCH("Total King",Assumptions!$A$8:$A$46,0)))*((J$10+J$11)*INDEX(Assumptions!$E$60:$E$65,MATCH('Cash flow forecast'!$B67,Assumptions!$A$60:$A$65,0))))</f>
        <v>0</v>
      </c>
      <c r="K67" s="151">
        <f>((INDEX(Assumptions!$C$8:$C$46,MATCH("Total King",Assumptions!$A$8:$A$46,0)))*((K$10+K$11)*INDEX(Assumptions!$E$60:$E$65,MATCH('Cash flow forecast'!$B67,Assumptions!$A$60:$A$65,0))))</f>
        <v>5100</v>
      </c>
      <c r="L67" s="151">
        <f>((INDEX(Assumptions!$C$8:$C$46,MATCH("Total King",Assumptions!$A$8:$A$46,0)))*((L$10+L$11)*INDEX(Assumptions!$E$60:$E$65,MATCH('Cash flow forecast'!$B67,Assumptions!$A$60:$A$65,0))))</f>
        <v>0</v>
      </c>
      <c r="M67" s="151">
        <f>((INDEX(Assumptions!$C$8:$C$46,MATCH("Total King",Assumptions!$A$8:$A$46,0)))*((M$10+M$11)*INDEX(Assumptions!$E$60:$E$65,MATCH('Cash flow forecast'!$B67,Assumptions!$A$60:$A$65,0))))</f>
        <v>0</v>
      </c>
      <c r="N67" s="152">
        <f>((INDEX(Assumptions!$C$8:$C$46,MATCH("Total King",Assumptions!$A$8:$A$46,0)))*((N$10+N$11)*INDEX(Assumptions!$E$60:$E$65,MATCH('Cash flow forecast'!$B67,Assumptions!$A$60:$A$65,0))))</f>
        <v>0</v>
      </c>
      <c r="O67" s="153">
        <f>((INDEX(Assumptions!$C$8:$C$46,MATCH("Total King",Assumptions!$A$8:$A$46,0)))*((O$10+O$11)*INDEX(Assumptions!$E$60:$E$65,MATCH('Cash flow forecast'!$B67,Assumptions!$A$60:$A$65,0))))</f>
        <v>12750</v>
      </c>
      <c r="P67" s="151">
        <f>((INDEX(Assumptions!$C$8:$C$46,MATCH("Total King",Assumptions!$A$8:$A$46,0)))*((P$10+P$11)*INDEX(Assumptions!$E$60:$E$65,MATCH('Cash flow forecast'!$B67,Assumptions!$A$60:$A$65,0))))</f>
        <v>0</v>
      </c>
      <c r="Q67" s="151">
        <f>((INDEX(Assumptions!$C$8:$C$46,MATCH("Total King",Assumptions!$A$8:$A$46,0)))*((Q$10+Q$11)*INDEX(Assumptions!$E$60:$E$65,MATCH('Cash flow forecast'!$B67,Assumptions!$A$60:$A$65,0))))</f>
        <v>5100</v>
      </c>
      <c r="R67" s="151">
        <f>((INDEX(Assumptions!$C$8:$C$46,MATCH("Total King",Assumptions!$A$8:$A$46,0)))*((R$10+R$11)*INDEX(Assumptions!$E$60:$E$65,MATCH('Cash flow forecast'!$B67,Assumptions!$A$60:$A$65,0))))</f>
        <v>0</v>
      </c>
      <c r="S67" s="151">
        <f>((INDEX(Assumptions!$C$8:$C$46,MATCH("Total King",Assumptions!$A$8:$A$46,0)))*((S$10+S$11)*INDEX(Assumptions!$E$60:$E$65,MATCH('Cash flow forecast'!$B67,Assumptions!$A$60:$A$65,0))))</f>
        <v>0</v>
      </c>
      <c r="T67" s="151">
        <f>((INDEX(Assumptions!$C$8:$C$46,MATCH("Total King",Assumptions!$A$8:$A$46,0)))*((T$10+T$11)*INDEX(Assumptions!$E$60:$E$65,MATCH('Cash flow forecast'!$B67,Assumptions!$A$60:$A$65,0))))</f>
        <v>0</v>
      </c>
      <c r="U67" s="151">
        <f>((INDEX(Assumptions!$C$8:$C$46,MATCH("Total King",Assumptions!$A$8:$A$46,0)))*((U$10+U$11)*INDEX(Assumptions!$E$60:$E$65,MATCH('Cash flow forecast'!$B67,Assumptions!$A$60:$A$65,0))))</f>
        <v>12750</v>
      </c>
      <c r="V67" s="151">
        <f>((INDEX(Assumptions!$C$8:$C$46,MATCH("Total King",Assumptions!$A$8:$A$46,0)))*((V$10+V$11)*INDEX(Assumptions!$E$60:$E$65,MATCH('Cash flow forecast'!$B67,Assumptions!$A$60:$A$65,0))))</f>
        <v>0</v>
      </c>
      <c r="W67" s="151">
        <f>((INDEX(Assumptions!$C$8:$C$46,MATCH("Total King",Assumptions!$A$8:$A$46,0)))*((W$10+W$11)*INDEX(Assumptions!$E$60:$E$65,MATCH('Cash flow forecast'!$B67,Assumptions!$A$60:$A$65,0))))</f>
        <v>5100</v>
      </c>
      <c r="X67" s="151">
        <f>((INDEX(Assumptions!$C$8:$C$46,MATCH("Total King",Assumptions!$A$8:$A$46,0)))*((X$10+X$11)*INDEX(Assumptions!$E$60:$E$65,MATCH('Cash flow forecast'!$B67,Assumptions!$A$60:$A$65,0))))</f>
        <v>12750</v>
      </c>
      <c r="Y67" s="151">
        <f>((INDEX(Assumptions!$C$8:$C$46,MATCH("Total King",Assumptions!$A$8:$A$46,0)))*((Y$10+Y$11)*INDEX(Assumptions!$E$60:$E$65,MATCH('Cash flow forecast'!$B67,Assumptions!$A$60:$A$65,0))))</f>
        <v>0</v>
      </c>
      <c r="Z67" s="152">
        <f>((INDEX(Assumptions!$C$8:$C$46,MATCH("Total King",Assumptions!$A$8:$A$46,0)))*((Z$10+Z$11)*INDEX(Assumptions!$E$60:$E$65,MATCH('Cash flow forecast'!$B67,Assumptions!$A$60:$A$65,0))))</f>
        <v>0</v>
      </c>
      <c r="AA67" s="150">
        <f t="shared" si="91"/>
        <v>12750</v>
      </c>
      <c r="AB67" s="151">
        <f t="shared" si="91"/>
        <v>5100</v>
      </c>
      <c r="AC67" s="151">
        <f t="shared" si="91"/>
        <v>12750</v>
      </c>
      <c r="AD67" s="152">
        <f t="shared" si="91"/>
        <v>5100</v>
      </c>
      <c r="AE67" s="154">
        <f t="shared" si="92"/>
        <v>35700</v>
      </c>
      <c r="AF67" s="150">
        <f t="shared" si="94"/>
        <v>12750</v>
      </c>
      <c r="AG67" s="151">
        <f t="shared" si="93"/>
        <v>5100</v>
      </c>
      <c r="AH67" s="151">
        <f t="shared" si="93"/>
        <v>12750</v>
      </c>
      <c r="AI67" s="152">
        <f t="shared" si="93"/>
        <v>17850</v>
      </c>
      <c r="AJ67" s="155">
        <f t="shared" si="95"/>
        <v>48450</v>
      </c>
      <c r="AK67" s="60">
        <f t="shared" si="96"/>
        <v>8.5250475773551423E-2</v>
      </c>
    </row>
    <row r="68" spans="2:37" ht="22.15" hidden="1" customHeight="1" outlineLevel="1" x14ac:dyDescent="0.25">
      <c r="B68" s="91" t="s">
        <v>49</v>
      </c>
      <c r="C68" s="150">
        <f>((INDEX(Assumptions!$C$8:$C$46,MATCH("Total Universal",Assumptions!$A$8:$A$46,0)))*((C$10+C$11)*INDEX(Assumptions!$E$60:$E$65,MATCH('Cash flow forecast'!$B68,Assumptions!$A$60:$A$65,0))))</f>
        <v>0</v>
      </c>
      <c r="D68" s="151">
        <f>((INDEX(Assumptions!$C$8:$C$46,MATCH("Total Universal",Assumptions!$A$8:$A$46,0)))*((D$10+D$11)*INDEX(Assumptions!$E$60:$E$65,MATCH('Cash flow forecast'!$B68,Assumptions!$A$60:$A$65,0))))</f>
        <v>0</v>
      </c>
      <c r="E68" s="151">
        <f>((INDEX(Assumptions!$C$8:$C$46,MATCH("Total Universal",Assumptions!$A$8:$A$46,0)))*((E$10+E$11)*INDEX(Assumptions!$E$60:$E$65,MATCH('Cash flow forecast'!$B68,Assumptions!$A$60:$A$65,0))))</f>
        <v>0</v>
      </c>
      <c r="F68" s="151">
        <f>((INDEX(Assumptions!$C$8:$C$46,MATCH("Total Universal",Assumptions!$A$8:$A$46,0)))*((F$10+F$11)*INDEX(Assumptions!$E$60:$E$65,MATCH('Cash flow forecast'!$B68,Assumptions!$A$60:$A$65,0))))</f>
        <v>0</v>
      </c>
      <c r="G68" s="151">
        <f>((INDEX(Assumptions!$C$8:$C$46,MATCH("Total Universal",Assumptions!$A$8:$A$46,0)))*((G$10+G$11)*INDEX(Assumptions!$E$60:$E$65,MATCH('Cash flow forecast'!$B68,Assumptions!$A$60:$A$65,0))))</f>
        <v>0</v>
      </c>
      <c r="H68" s="151">
        <f>((INDEX(Assumptions!$C$8:$C$46,MATCH("Total Universal",Assumptions!$A$8:$A$46,0)))*((H$10+H$11)*INDEX(Assumptions!$E$60:$E$65,MATCH('Cash flow forecast'!$B68,Assumptions!$A$60:$A$65,0))))</f>
        <v>0</v>
      </c>
      <c r="I68" s="151">
        <f>((INDEX(Assumptions!$C$8:$C$46,MATCH("Total Universal",Assumptions!$A$8:$A$46,0)))*((I$10+I$11)*INDEX(Assumptions!$E$60:$E$65,MATCH('Cash flow forecast'!$B68,Assumptions!$A$60:$A$65,0))))</f>
        <v>0</v>
      </c>
      <c r="J68" s="151">
        <f>((INDEX(Assumptions!$C$8:$C$46,MATCH("Total Universal",Assumptions!$A$8:$A$46,0)))*((J$10+J$11)*INDEX(Assumptions!$E$60:$E$65,MATCH('Cash flow forecast'!$B68,Assumptions!$A$60:$A$65,0))))</f>
        <v>0</v>
      </c>
      <c r="K68" s="151">
        <f>((INDEX(Assumptions!$C$8:$C$46,MATCH("Total Universal",Assumptions!$A$8:$A$46,0)))*((K$10+K$11)*INDEX(Assumptions!$E$60:$E$65,MATCH('Cash flow forecast'!$B68,Assumptions!$A$60:$A$65,0))))</f>
        <v>0</v>
      </c>
      <c r="L68" s="151">
        <f>((INDEX(Assumptions!$C$8:$C$46,MATCH("Total Universal",Assumptions!$A$8:$A$46,0)))*((L$10+L$11)*INDEX(Assumptions!$E$60:$E$65,MATCH('Cash flow forecast'!$B68,Assumptions!$A$60:$A$65,0))))</f>
        <v>0</v>
      </c>
      <c r="M68" s="151">
        <f>((INDEX(Assumptions!$C$8:$C$46,MATCH("Total Universal",Assumptions!$A$8:$A$46,0)))*((M$10+M$11)*INDEX(Assumptions!$E$60:$E$65,MATCH('Cash flow forecast'!$B68,Assumptions!$A$60:$A$65,0))))</f>
        <v>0</v>
      </c>
      <c r="N68" s="152">
        <f>((INDEX(Assumptions!$C$8:$C$46,MATCH("Total Universal",Assumptions!$A$8:$A$46,0)))*((N$10+N$11)*INDEX(Assumptions!$E$60:$E$65,MATCH('Cash flow forecast'!$B68,Assumptions!$A$60:$A$65,0))))</f>
        <v>0</v>
      </c>
      <c r="O68" s="153">
        <f>((INDEX(Assumptions!$C$8:$C$46,MATCH("Total Universal",Assumptions!$A$8:$A$46,0)))*((O$10+O$11)*INDEX(Assumptions!$E$60:$E$65,MATCH('Cash flow forecast'!$B68,Assumptions!$A$60:$A$65,0))))</f>
        <v>0</v>
      </c>
      <c r="P68" s="151">
        <f>((INDEX(Assumptions!$C$8:$C$46,MATCH("Total Universal",Assumptions!$A$8:$A$46,0)))*((P$10+P$11)*INDEX(Assumptions!$E$60:$E$65,MATCH('Cash flow forecast'!$B68,Assumptions!$A$60:$A$65,0))))</f>
        <v>0</v>
      </c>
      <c r="Q68" s="151">
        <f>((INDEX(Assumptions!$C$8:$C$46,MATCH("Total Universal",Assumptions!$A$8:$A$46,0)))*((Q$10+Q$11)*INDEX(Assumptions!$E$60:$E$65,MATCH('Cash flow forecast'!$B68,Assumptions!$A$60:$A$65,0))))</f>
        <v>0</v>
      </c>
      <c r="R68" s="151">
        <f>((INDEX(Assumptions!$C$8:$C$46,MATCH("Total Universal",Assumptions!$A$8:$A$46,0)))*((R$10+R$11)*INDEX(Assumptions!$E$60:$E$65,MATCH('Cash flow forecast'!$B68,Assumptions!$A$60:$A$65,0))))</f>
        <v>0</v>
      </c>
      <c r="S68" s="151">
        <f>((INDEX(Assumptions!$C$8:$C$46,MATCH("Total Universal",Assumptions!$A$8:$A$46,0)))*((S$10+S$11)*INDEX(Assumptions!$E$60:$E$65,MATCH('Cash flow forecast'!$B68,Assumptions!$A$60:$A$65,0))))</f>
        <v>0</v>
      </c>
      <c r="T68" s="151">
        <f>((INDEX(Assumptions!$C$8:$C$46,MATCH("Total Universal",Assumptions!$A$8:$A$46,0)))*((T$10+T$11)*INDEX(Assumptions!$E$60:$E$65,MATCH('Cash flow forecast'!$B68,Assumptions!$A$60:$A$65,0))))</f>
        <v>0</v>
      </c>
      <c r="U68" s="151">
        <f>((INDEX(Assumptions!$C$8:$C$46,MATCH("Total Universal",Assumptions!$A$8:$A$46,0)))*((U$10+U$11)*INDEX(Assumptions!$E$60:$E$65,MATCH('Cash flow forecast'!$B68,Assumptions!$A$60:$A$65,0))))</f>
        <v>0</v>
      </c>
      <c r="V68" s="151">
        <f>((INDEX(Assumptions!$C$8:$C$46,MATCH("Total Universal",Assumptions!$A$8:$A$46,0)))*((V$10+V$11)*INDEX(Assumptions!$E$60:$E$65,MATCH('Cash flow forecast'!$B68,Assumptions!$A$60:$A$65,0))))</f>
        <v>0</v>
      </c>
      <c r="W68" s="151">
        <f>((INDEX(Assumptions!$C$8:$C$46,MATCH("Total Universal",Assumptions!$A$8:$A$46,0)))*((W$10+W$11)*INDEX(Assumptions!$E$60:$E$65,MATCH('Cash flow forecast'!$B68,Assumptions!$A$60:$A$65,0))))</f>
        <v>0</v>
      </c>
      <c r="X68" s="151">
        <f>((INDEX(Assumptions!$C$8:$C$46,MATCH("Total Universal",Assumptions!$A$8:$A$46,0)))*((X$10+X$11)*INDEX(Assumptions!$E$60:$E$65,MATCH('Cash flow forecast'!$B68,Assumptions!$A$60:$A$65,0))))</f>
        <v>0</v>
      </c>
      <c r="Y68" s="151">
        <f>((INDEX(Assumptions!$C$8:$C$46,MATCH("Total Universal",Assumptions!$A$8:$A$46,0)))*((Y$10+Y$11)*INDEX(Assumptions!$E$60:$E$65,MATCH('Cash flow forecast'!$B68,Assumptions!$A$60:$A$65,0))))</f>
        <v>0</v>
      </c>
      <c r="Z68" s="152">
        <f>((INDEX(Assumptions!$C$8:$C$46,MATCH("Total Universal",Assumptions!$A$8:$A$46,0)))*((Z$10+Z$11)*INDEX(Assumptions!$E$60:$E$65,MATCH('Cash flow forecast'!$B68,Assumptions!$A$60:$A$65,0))))</f>
        <v>0</v>
      </c>
      <c r="AA68" s="150">
        <f t="shared" si="91"/>
        <v>0</v>
      </c>
      <c r="AB68" s="151">
        <f t="shared" si="91"/>
        <v>0</v>
      </c>
      <c r="AC68" s="151">
        <f t="shared" si="91"/>
        <v>0</v>
      </c>
      <c r="AD68" s="152">
        <f t="shared" si="91"/>
        <v>0</v>
      </c>
      <c r="AE68" s="154">
        <f t="shared" si="92"/>
        <v>0</v>
      </c>
      <c r="AF68" s="150">
        <f t="shared" si="94"/>
        <v>0</v>
      </c>
      <c r="AG68" s="151">
        <f t="shared" si="93"/>
        <v>0</v>
      </c>
      <c r="AH68" s="151">
        <f t="shared" si="93"/>
        <v>0</v>
      </c>
      <c r="AI68" s="152">
        <f t="shared" si="93"/>
        <v>0</v>
      </c>
      <c r="AJ68" s="155">
        <f t="shared" si="95"/>
        <v>0</v>
      </c>
      <c r="AK68" s="60">
        <f t="shared" si="96"/>
        <v>0</v>
      </c>
    </row>
    <row r="69" spans="2:37" ht="22.15" hidden="1" customHeight="1" outlineLevel="1" x14ac:dyDescent="0.25">
      <c r="B69" s="96" t="s">
        <v>0</v>
      </c>
      <c r="C69" s="156">
        <f>SUM(C64:C68)</f>
        <v>97601.25</v>
      </c>
      <c r="D69" s="157">
        <f t="shared" ref="D69:Z69" si="97">SUM(D64:D68)</f>
        <v>0</v>
      </c>
      <c r="E69" s="157">
        <f t="shared" si="97"/>
        <v>39040.5</v>
      </c>
      <c r="F69" s="157">
        <f t="shared" si="97"/>
        <v>0</v>
      </c>
      <c r="G69" s="157">
        <f t="shared" si="97"/>
        <v>0</v>
      </c>
      <c r="H69" s="157">
        <f t="shared" si="97"/>
        <v>0</v>
      </c>
      <c r="I69" s="157">
        <f t="shared" si="97"/>
        <v>97601.25</v>
      </c>
      <c r="J69" s="157">
        <f t="shared" si="97"/>
        <v>0</v>
      </c>
      <c r="K69" s="157">
        <f t="shared" si="97"/>
        <v>39040.5</v>
      </c>
      <c r="L69" s="157">
        <f t="shared" si="97"/>
        <v>0</v>
      </c>
      <c r="M69" s="157">
        <f t="shared" si="97"/>
        <v>0</v>
      </c>
      <c r="N69" s="158">
        <f t="shared" si="97"/>
        <v>0</v>
      </c>
      <c r="O69" s="157">
        <f t="shared" si="97"/>
        <v>97601.25</v>
      </c>
      <c r="P69" s="157">
        <f t="shared" si="97"/>
        <v>0</v>
      </c>
      <c r="Q69" s="157">
        <f t="shared" si="97"/>
        <v>39040.5</v>
      </c>
      <c r="R69" s="157">
        <f t="shared" si="97"/>
        <v>0</v>
      </c>
      <c r="S69" s="157">
        <f t="shared" si="97"/>
        <v>0</v>
      </c>
      <c r="T69" s="157">
        <f t="shared" si="97"/>
        <v>0</v>
      </c>
      <c r="U69" s="157">
        <f t="shared" si="97"/>
        <v>97601.25</v>
      </c>
      <c r="V69" s="157">
        <f t="shared" si="97"/>
        <v>0</v>
      </c>
      <c r="W69" s="157">
        <f t="shared" si="97"/>
        <v>39040.5</v>
      </c>
      <c r="X69" s="157">
        <f t="shared" si="97"/>
        <v>97601.25</v>
      </c>
      <c r="Y69" s="157">
        <f t="shared" si="97"/>
        <v>0</v>
      </c>
      <c r="Z69" s="158">
        <f t="shared" si="97"/>
        <v>0</v>
      </c>
      <c r="AA69" s="156">
        <f>SUM(AA64:AA68)</f>
        <v>97601.25</v>
      </c>
      <c r="AB69" s="157">
        <f t="shared" ref="AB69:AD69" si="98">SUM(AB64:AB68)</f>
        <v>39040.5</v>
      </c>
      <c r="AC69" s="157">
        <f t="shared" si="98"/>
        <v>97601.25</v>
      </c>
      <c r="AD69" s="158">
        <f t="shared" si="98"/>
        <v>39040.5</v>
      </c>
      <c r="AE69" s="159">
        <f>SUM($C69:$N69)</f>
        <v>273283.5</v>
      </c>
      <c r="AF69" s="156">
        <f>SUM(AF64:AF68)</f>
        <v>97601.25</v>
      </c>
      <c r="AG69" s="157">
        <f t="shared" ref="AG69:AI69" si="99">SUM(AG64:AG68)</f>
        <v>39040.5</v>
      </c>
      <c r="AH69" s="157">
        <f t="shared" si="99"/>
        <v>97601.25</v>
      </c>
      <c r="AI69" s="158">
        <f t="shared" si="99"/>
        <v>136641.75</v>
      </c>
      <c r="AJ69" s="156">
        <f t="shared" si="95"/>
        <v>370884.75</v>
      </c>
      <c r="AK69" s="61">
        <f t="shared" si="96"/>
        <v>0.65259239204653607</v>
      </c>
    </row>
    <row r="70" spans="2:37" ht="22.15" hidden="1" customHeight="1" outlineLevel="1" x14ac:dyDescent="0.25">
      <c r="B70" s="90" t="s">
        <v>56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241"/>
    </row>
    <row r="71" spans="2:37" ht="22.15" hidden="1" customHeight="1" outlineLevel="1" x14ac:dyDescent="0.25">
      <c r="B71" s="91" t="s">
        <v>45</v>
      </c>
      <c r="C71" s="144">
        <f>((INDEX(Assumptions!$C$8:$C$46,MATCH("Total Twin",Assumptions!$A$8:$A$46,0)))*((C$19+C$20)*INDEX(Assumptions!$E$78:$E$83,MATCH('Cash flow forecast'!$B71,Assumptions!$A$78:$A$83,0))))</f>
        <v>1370.25</v>
      </c>
      <c r="D71" s="145">
        <f>((INDEX(Assumptions!$C$8:$C$46,MATCH("Total Twin",Assumptions!$A$8:$A$46,0)))*((D$19+D$20)*INDEX(Assumptions!$E$78:$E$83,MATCH('Cash flow forecast'!$B71,Assumptions!$A$78:$A$83,0))))</f>
        <v>0</v>
      </c>
      <c r="E71" s="145">
        <f>((INDEX(Assumptions!$C$8:$C$46,MATCH("Total Twin",Assumptions!$A$8:$A$46,0)))*((E$19+E$20)*INDEX(Assumptions!$E$78:$E$83,MATCH('Cash flow forecast'!$B71,Assumptions!$A$78:$A$83,0))))</f>
        <v>1370.25</v>
      </c>
      <c r="F71" s="145">
        <f>((INDEX(Assumptions!$C$8:$C$46,MATCH("Total Twin",Assumptions!$A$8:$A$46,0)))*((F$19+F$20)*INDEX(Assumptions!$E$78:$E$83,MATCH('Cash flow forecast'!$B71,Assumptions!$A$78:$A$83,0))))</f>
        <v>0</v>
      </c>
      <c r="G71" s="145">
        <f>((INDEX(Assumptions!$C$8:$C$46,MATCH("Total Twin",Assumptions!$A$8:$A$46,0)))*((G$19+G$20)*INDEX(Assumptions!$E$78:$E$83,MATCH('Cash flow forecast'!$B71,Assumptions!$A$78:$A$83,0))))</f>
        <v>0</v>
      </c>
      <c r="H71" s="145">
        <f>((INDEX(Assumptions!$C$8:$C$46,MATCH("Total Twin",Assumptions!$A$8:$A$46,0)))*((H$19+H$20)*INDEX(Assumptions!$E$78:$E$83,MATCH('Cash flow forecast'!$B71,Assumptions!$A$78:$A$83,0))))</f>
        <v>0</v>
      </c>
      <c r="I71" s="145">
        <f>((INDEX(Assumptions!$C$8:$C$46,MATCH("Total Twin",Assumptions!$A$8:$A$46,0)))*((I$19+I$20)*INDEX(Assumptions!$E$78:$E$83,MATCH('Cash flow forecast'!$B71,Assumptions!$A$78:$A$83,0))))</f>
        <v>1370.25</v>
      </c>
      <c r="J71" s="145">
        <f>((INDEX(Assumptions!$C$8:$C$46,MATCH("Total Twin",Assumptions!$A$8:$A$46,0)))*((J$19+J$20)*INDEX(Assumptions!$E$78:$E$83,MATCH('Cash flow forecast'!$B71,Assumptions!$A$78:$A$83,0))))</f>
        <v>0</v>
      </c>
      <c r="K71" s="145">
        <f>((INDEX(Assumptions!$C$8:$C$46,MATCH("Total Twin",Assumptions!$A$8:$A$46,0)))*((K$19+K$20)*INDEX(Assumptions!$E$78:$E$83,MATCH('Cash flow forecast'!$B71,Assumptions!$A$78:$A$83,0))))</f>
        <v>1370.25</v>
      </c>
      <c r="L71" s="145">
        <f>((INDEX(Assumptions!$C$8:$C$46,MATCH("Total Twin",Assumptions!$A$8:$A$46,0)))*((L$19+L$20)*INDEX(Assumptions!$E$78:$E$83,MATCH('Cash flow forecast'!$B71,Assumptions!$A$78:$A$83,0))))</f>
        <v>0</v>
      </c>
      <c r="M71" s="145">
        <f>((INDEX(Assumptions!$C$8:$C$46,MATCH("Total Twin",Assumptions!$A$8:$A$46,0)))*((M$19+M$20)*INDEX(Assumptions!$E$78:$E$83,MATCH('Cash flow forecast'!$B71,Assumptions!$A$78:$A$83,0))))</f>
        <v>0</v>
      </c>
      <c r="N71" s="175">
        <f>((INDEX(Assumptions!$C$8:$C$46,MATCH("Total Twin",Assumptions!$A$8:$A$46,0)))*((N$19+N$20)*INDEX(Assumptions!$E$78:$E$83,MATCH('Cash flow forecast'!$B71,Assumptions!$A$78:$A$83,0))))</f>
        <v>0</v>
      </c>
      <c r="O71" s="144">
        <f>((INDEX(Assumptions!$C$8:$C$46,MATCH("Total Twin",Assumptions!$A$8:$A$46,0)))*((O$19+O$20)*INDEX(Assumptions!$E$78:$E$83,MATCH('Cash flow forecast'!$B71,Assumptions!$A$78:$A$83,0))))</f>
        <v>1370.25</v>
      </c>
      <c r="P71" s="145">
        <f>((INDEX(Assumptions!$C$8:$C$46,MATCH("Total Twin",Assumptions!$A$8:$A$46,0)))*((P$19+P$20)*INDEX(Assumptions!$E$78:$E$83,MATCH('Cash flow forecast'!$B71,Assumptions!$A$78:$A$83,0))))</f>
        <v>0</v>
      </c>
      <c r="Q71" s="145">
        <f>((INDEX(Assumptions!$C$8:$C$46,MATCH("Total Twin",Assumptions!$A$8:$A$46,0)))*((Q$19+Q$20)*INDEX(Assumptions!$E$78:$E$83,MATCH('Cash flow forecast'!$B71,Assumptions!$A$78:$A$83,0))))</f>
        <v>1370.25</v>
      </c>
      <c r="R71" s="145">
        <f>((INDEX(Assumptions!$C$8:$C$46,MATCH("Total Twin",Assumptions!$A$8:$A$46,0)))*((R$19+R$20)*INDEX(Assumptions!$E$78:$E$83,MATCH('Cash flow forecast'!$B71,Assumptions!$A$78:$A$83,0))))</f>
        <v>0</v>
      </c>
      <c r="S71" s="145">
        <f>((INDEX(Assumptions!$C$8:$C$46,MATCH("Total Twin",Assumptions!$A$8:$A$46,0)))*((S$19+S$20)*INDEX(Assumptions!$E$78:$E$83,MATCH('Cash flow forecast'!$B71,Assumptions!$A$78:$A$83,0))))</f>
        <v>0</v>
      </c>
      <c r="T71" s="145">
        <f>((INDEX(Assumptions!$C$8:$C$46,MATCH("Total Twin",Assumptions!$A$8:$A$46,0)))*((T$19+T$20)*INDEX(Assumptions!$E$78:$E$83,MATCH('Cash flow forecast'!$B71,Assumptions!$A$78:$A$83,0))))</f>
        <v>0</v>
      </c>
      <c r="U71" s="145">
        <f>((INDEX(Assumptions!$C$8:$C$46,MATCH("Total Twin",Assumptions!$A$8:$A$46,0)))*((U$19+U$20)*INDEX(Assumptions!$E$78:$E$83,MATCH('Cash flow forecast'!$B71,Assumptions!$A$78:$A$83,0))))</f>
        <v>1370.25</v>
      </c>
      <c r="V71" s="145">
        <f>((INDEX(Assumptions!$C$8:$C$46,MATCH("Total Twin",Assumptions!$A$8:$A$46,0)))*((V$19+V$20)*INDEX(Assumptions!$E$78:$E$83,MATCH('Cash flow forecast'!$B71,Assumptions!$A$78:$A$83,0))))</f>
        <v>0</v>
      </c>
      <c r="W71" s="145">
        <f>((INDEX(Assumptions!$C$8:$C$46,MATCH("Total Twin",Assumptions!$A$8:$A$46,0)))*((W$19+W$20)*INDEX(Assumptions!$E$78:$E$83,MATCH('Cash flow forecast'!$B71,Assumptions!$A$78:$A$83,0))))</f>
        <v>1370.25</v>
      </c>
      <c r="X71" s="145">
        <f>((INDEX(Assumptions!$C$8:$C$46,MATCH("Total Twin",Assumptions!$A$8:$A$46,0)))*((X$19+X$20)*INDEX(Assumptions!$E$78:$E$83,MATCH('Cash flow forecast'!$B71,Assumptions!$A$78:$A$83,0))))</f>
        <v>0</v>
      </c>
      <c r="Y71" s="145">
        <f>((INDEX(Assumptions!$C$8:$C$46,MATCH("Total Twin",Assumptions!$A$8:$A$46,0)))*((Y$19+Y$20)*INDEX(Assumptions!$E$78:$E$83,MATCH('Cash flow forecast'!$B71,Assumptions!$A$78:$A$83,0))))</f>
        <v>0</v>
      </c>
      <c r="Z71" s="146">
        <f>((INDEX(Assumptions!$C$8:$C$46,MATCH("Total Twin",Assumptions!$A$8:$A$46,0)))*((Z$19+Z$20)*INDEX(Assumptions!$E$78:$E$83,MATCH('Cash flow forecast'!$B71,Assumptions!$A$78:$A$83,0))))</f>
        <v>0</v>
      </c>
      <c r="AA71" s="144">
        <f t="shared" ref="AA71:AD75" si="100">SUMIFS($C71:$N71,$C$6:$N$6,AA$5)</f>
        <v>1370.25</v>
      </c>
      <c r="AB71" s="145">
        <f t="shared" si="100"/>
        <v>1370.25</v>
      </c>
      <c r="AC71" s="145">
        <f t="shared" si="100"/>
        <v>1370.25</v>
      </c>
      <c r="AD71" s="146">
        <f t="shared" si="100"/>
        <v>1370.25</v>
      </c>
      <c r="AE71" s="148">
        <f t="shared" si="92"/>
        <v>5481</v>
      </c>
      <c r="AF71" s="144">
        <f>SUMIFS($O71:$Z71,$O$6:$Z$6,AF$5)</f>
        <v>1370.25</v>
      </c>
      <c r="AG71" s="145">
        <f t="shared" ref="AG71:AI75" si="101">SUMIFS($O71:$Z71,$O$6:$Z$6,AG$5)</f>
        <v>1370.25</v>
      </c>
      <c r="AH71" s="145">
        <f t="shared" si="101"/>
        <v>1370.25</v>
      </c>
      <c r="AI71" s="146">
        <f t="shared" si="101"/>
        <v>1370.25</v>
      </c>
      <c r="AJ71" s="149">
        <f>SUM($O71:$Z71)</f>
        <v>5481</v>
      </c>
      <c r="AK71" s="238">
        <f t="shared" si="96"/>
        <v>1.1105356095420923E-2</v>
      </c>
    </row>
    <row r="72" spans="2:37" ht="22.15" hidden="1" customHeight="1" outlineLevel="1" x14ac:dyDescent="0.25">
      <c r="B72" s="91" t="s">
        <v>46</v>
      </c>
      <c r="C72" s="150">
        <f>((INDEX(Assumptions!$C$8:$C$46,MATCH("Total Full",Assumptions!$A$8:$A$46,0)))*((C$19+C$20)*INDEX(Assumptions!$E$78:$E$83,MATCH('Cash flow forecast'!$B72,Assumptions!$A$78:$A$83,0))))</f>
        <v>0</v>
      </c>
      <c r="D72" s="151">
        <f>((INDEX(Assumptions!$C$8:$C$46,MATCH("Total Full",Assumptions!$A$8:$A$46,0)))*((D$19+D$20)*INDEX(Assumptions!$E$78:$E$83,MATCH('Cash flow forecast'!$B72,Assumptions!$A$78:$A$83,0))))</f>
        <v>0</v>
      </c>
      <c r="E72" s="151">
        <f>((INDEX(Assumptions!$C$8:$C$46,MATCH("Total Full",Assumptions!$A$8:$A$46,0)))*((E$19+E$20)*INDEX(Assumptions!$E$78:$E$83,MATCH('Cash flow forecast'!$B72,Assumptions!$A$78:$A$83,0))))</f>
        <v>0</v>
      </c>
      <c r="F72" s="151">
        <f>((INDEX(Assumptions!$C$8:$C$46,MATCH("Total Full",Assumptions!$A$8:$A$46,0)))*((F$19+F$20)*INDEX(Assumptions!$E$78:$E$83,MATCH('Cash flow forecast'!$B72,Assumptions!$A$78:$A$83,0))))</f>
        <v>0</v>
      </c>
      <c r="G72" s="151">
        <f>((INDEX(Assumptions!$C$8:$C$46,MATCH("Total Full",Assumptions!$A$8:$A$46,0)))*((G$19+G$20)*INDEX(Assumptions!$E$78:$E$83,MATCH('Cash flow forecast'!$B72,Assumptions!$A$78:$A$83,0))))</f>
        <v>0</v>
      </c>
      <c r="H72" s="151">
        <f>((INDEX(Assumptions!$C$8:$C$46,MATCH("Total Full",Assumptions!$A$8:$A$46,0)))*((H$19+H$20)*INDEX(Assumptions!$E$78:$E$83,MATCH('Cash flow forecast'!$B72,Assumptions!$A$78:$A$83,0))))</f>
        <v>0</v>
      </c>
      <c r="I72" s="151">
        <f>((INDEX(Assumptions!$C$8:$C$46,MATCH("Total Full",Assumptions!$A$8:$A$46,0)))*((I$19+I$20)*INDEX(Assumptions!$E$78:$E$83,MATCH('Cash flow forecast'!$B72,Assumptions!$A$78:$A$83,0))))</f>
        <v>0</v>
      </c>
      <c r="J72" s="151">
        <f>((INDEX(Assumptions!$C$8:$C$46,MATCH("Total Full",Assumptions!$A$8:$A$46,0)))*((J$19+J$20)*INDEX(Assumptions!$E$78:$E$83,MATCH('Cash flow forecast'!$B72,Assumptions!$A$78:$A$83,0))))</f>
        <v>0</v>
      </c>
      <c r="K72" s="151">
        <f>((INDEX(Assumptions!$C$8:$C$46,MATCH("Total Full",Assumptions!$A$8:$A$46,0)))*((K$19+K$20)*INDEX(Assumptions!$E$78:$E$83,MATCH('Cash flow forecast'!$B72,Assumptions!$A$78:$A$83,0))))</f>
        <v>0</v>
      </c>
      <c r="L72" s="151">
        <f>((INDEX(Assumptions!$C$8:$C$46,MATCH("Total Full",Assumptions!$A$8:$A$46,0)))*((L$19+L$20)*INDEX(Assumptions!$E$78:$E$83,MATCH('Cash flow forecast'!$B72,Assumptions!$A$78:$A$83,0))))</f>
        <v>0</v>
      </c>
      <c r="M72" s="151">
        <f>((INDEX(Assumptions!$C$8:$C$46,MATCH("Total Full",Assumptions!$A$8:$A$46,0)))*((M$19+M$20)*INDEX(Assumptions!$E$78:$E$83,MATCH('Cash flow forecast'!$B72,Assumptions!$A$78:$A$83,0))))</f>
        <v>0</v>
      </c>
      <c r="N72" s="160">
        <f>((INDEX(Assumptions!$C$8:$C$46,MATCH("Total Full",Assumptions!$A$8:$A$46,0)))*((N$19+N$20)*INDEX(Assumptions!$E$78:$E$83,MATCH('Cash flow forecast'!$B72,Assumptions!$A$78:$A$83,0))))</f>
        <v>0</v>
      </c>
      <c r="O72" s="150">
        <f>((INDEX(Assumptions!$C$8:$C$46,MATCH("Total Full",Assumptions!$A$8:$A$46,0)))*((O$19+O$20)*INDEX(Assumptions!$E$78:$E$83,MATCH('Cash flow forecast'!$B72,Assumptions!$A$78:$A$83,0))))</f>
        <v>0</v>
      </c>
      <c r="P72" s="151">
        <f>((INDEX(Assumptions!$C$8:$C$46,MATCH("Total Full",Assumptions!$A$8:$A$46,0)))*((P$19+P$20)*INDEX(Assumptions!$E$78:$E$83,MATCH('Cash flow forecast'!$B72,Assumptions!$A$78:$A$83,0))))</f>
        <v>0</v>
      </c>
      <c r="Q72" s="151">
        <f>((INDEX(Assumptions!$C$8:$C$46,MATCH("Total Full",Assumptions!$A$8:$A$46,0)))*((Q$19+Q$20)*INDEX(Assumptions!$E$78:$E$83,MATCH('Cash flow forecast'!$B72,Assumptions!$A$78:$A$83,0))))</f>
        <v>0</v>
      </c>
      <c r="R72" s="151">
        <f>((INDEX(Assumptions!$C$8:$C$46,MATCH("Total Full",Assumptions!$A$8:$A$46,0)))*((R$19+R$20)*INDEX(Assumptions!$E$78:$E$83,MATCH('Cash flow forecast'!$B72,Assumptions!$A$78:$A$83,0))))</f>
        <v>0</v>
      </c>
      <c r="S72" s="151">
        <f>((INDEX(Assumptions!$C$8:$C$46,MATCH("Total Full",Assumptions!$A$8:$A$46,0)))*((S$19+S$20)*INDEX(Assumptions!$E$78:$E$83,MATCH('Cash flow forecast'!$B72,Assumptions!$A$78:$A$83,0))))</f>
        <v>0</v>
      </c>
      <c r="T72" s="151">
        <f>((INDEX(Assumptions!$C$8:$C$46,MATCH("Total Full",Assumptions!$A$8:$A$46,0)))*((T$19+T$20)*INDEX(Assumptions!$E$78:$E$83,MATCH('Cash flow forecast'!$B72,Assumptions!$A$78:$A$83,0))))</f>
        <v>0</v>
      </c>
      <c r="U72" s="151">
        <f>((INDEX(Assumptions!$C$8:$C$46,MATCH("Total Full",Assumptions!$A$8:$A$46,0)))*((U$19+U$20)*INDEX(Assumptions!$E$78:$E$83,MATCH('Cash flow forecast'!$B72,Assumptions!$A$78:$A$83,0))))</f>
        <v>0</v>
      </c>
      <c r="V72" s="151">
        <f>((INDEX(Assumptions!$C$8:$C$46,MATCH("Total Full",Assumptions!$A$8:$A$46,0)))*((V$19+V$20)*INDEX(Assumptions!$E$78:$E$83,MATCH('Cash flow forecast'!$B72,Assumptions!$A$78:$A$83,0))))</f>
        <v>0</v>
      </c>
      <c r="W72" s="151">
        <f>((INDEX(Assumptions!$C$8:$C$46,MATCH("Total Full",Assumptions!$A$8:$A$46,0)))*((W$19+W$20)*INDEX(Assumptions!$E$78:$E$83,MATCH('Cash flow forecast'!$B72,Assumptions!$A$78:$A$83,0))))</f>
        <v>0</v>
      </c>
      <c r="X72" s="151">
        <f>((INDEX(Assumptions!$C$8:$C$46,MATCH("Total Full",Assumptions!$A$8:$A$46,0)))*((X$19+X$20)*INDEX(Assumptions!$E$78:$E$83,MATCH('Cash flow forecast'!$B72,Assumptions!$A$78:$A$83,0))))</f>
        <v>0</v>
      </c>
      <c r="Y72" s="151">
        <f>((INDEX(Assumptions!$C$8:$C$46,MATCH("Total Full",Assumptions!$A$8:$A$46,0)))*((Y$19+Y$20)*INDEX(Assumptions!$E$78:$E$83,MATCH('Cash flow forecast'!$B72,Assumptions!$A$78:$A$83,0))))</f>
        <v>0</v>
      </c>
      <c r="Z72" s="152">
        <f>((INDEX(Assumptions!$C$8:$C$46,MATCH("Total Full",Assumptions!$A$8:$A$46,0)))*((Z$19+Z$20)*INDEX(Assumptions!$E$78:$E$83,MATCH('Cash flow forecast'!$B72,Assumptions!$A$78:$A$83,0))))</f>
        <v>0</v>
      </c>
      <c r="AA72" s="150">
        <f t="shared" si="100"/>
        <v>0</v>
      </c>
      <c r="AB72" s="151">
        <f t="shared" si="100"/>
        <v>0</v>
      </c>
      <c r="AC72" s="151">
        <f t="shared" si="100"/>
        <v>0</v>
      </c>
      <c r="AD72" s="152">
        <f t="shared" si="100"/>
        <v>0</v>
      </c>
      <c r="AE72" s="154">
        <f t="shared" si="92"/>
        <v>0</v>
      </c>
      <c r="AF72" s="150">
        <f t="shared" ref="AF72:AF75" si="102">SUMIFS($O72:$Z72,$O$6:$Z$6,AF$5)</f>
        <v>0</v>
      </c>
      <c r="AG72" s="151">
        <f t="shared" si="101"/>
        <v>0</v>
      </c>
      <c r="AH72" s="151">
        <f t="shared" si="101"/>
        <v>0</v>
      </c>
      <c r="AI72" s="152">
        <f t="shared" si="101"/>
        <v>0</v>
      </c>
      <c r="AJ72" s="155">
        <f t="shared" ref="AJ72:AJ76" si="103">SUM($O72:$Z72)</f>
        <v>0</v>
      </c>
      <c r="AK72" s="60">
        <f t="shared" si="96"/>
        <v>0</v>
      </c>
    </row>
    <row r="73" spans="2:37" ht="22.15" hidden="1" customHeight="1" outlineLevel="1" x14ac:dyDescent="0.25">
      <c r="B73" s="91" t="s">
        <v>47</v>
      </c>
      <c r="C73" s="150">
        <f>((INDEX(Assumptions!$C$8:$C$46,MATCH("Total Queen",Assumptions!$A$8:$A$46,0)))*((C$19+C$20)*INDEX(Assumptions!$E$78:$E$83,MATCH('Cash flow forecast'!$B73,Assumptions!$A$78:$A$83,0))))</f>
        <v>15600</v>
      </c>
      <c r="D73" s="151">
        <f>((INDEX(Assumptions!$C$8:$C$46,MATCH("Total Queen",Assumptions!$A$8:$A$46,0)))*((D$19+D$20)*INDEX(Assumptions!$E$78:$E$83,MATCH('Cash flow forecast'!$B73,Assumptions!$A$78:$A$83,0))))</f>
        <v>0</v>
      </c>
      <c r="E73" s="151">
        <f>((INDEX(Assumptions!$C$8:$C$46,MATCH("Total Queen",Assumptions!$A$8:$A$46,0)))*((E$19+E$20)*INDEX(Assumptions!$E$78:$E$83,MATCH('Cash flow forecast'!$B73,Assumptions!$A$78:$A$83,0))))</f>
        <v>15600</v>
      </c>
      <c r="F73" s="151">
        <f>((INDEX(Assumptions!$C$8:$C$46,MATCH("Total Queen",Assumptions!$A$8:$A$46,0)))*((F$19+F$20)*INDEX(Assumptions!$E$78:$E$83,MATCH('Cash flow forecast'!$B73,Assumptions!$A$78:$A$83,0))))</f>
        <v>0</v>
      </c>
      <c r="G73" s="151">
        <f>((INDEX(Assumptions!$C$8:$C$46,MATCH("Total Queen",Assumptions!$A$8:$A$46,0)))*((G$19+G$20)*INDEX(Assumptions!$E$78:$E$83,MATCH('Cash flow forecast'!$B73,Assumptions!$A$78:$A$83,0))))</f>
        <v>0</v>
      </c>
      <c r="H73" s="151">
        <f>((INDEX(Assumptions!$C$8:$C$46,MATCH("Total Queen",Assumptions!$A$8:$A$46,0)))*((H$19+H$20)*INDEX(Assumptions!$E$78:$E$83,MATCH('Cash flow forecast'!$B73,Assumptions!$A$78:$A$83,0))))</f>
        <v>0</v>
      </c>
      <c r="I73" s="151">
        <f>((INDEX(Assumptions!$C$8:$C$46,MATCH("Total Queen",Assumptions!$A$8:$A$46,0)))*((I$19+I$20)*INDEX(Assumptions!$E$78:$E$83,MATCH('Cash flow forecast'!$B73,Assumptions!$A$78:$A$83,0))))</f>
        <v>15600</v>
      </c>
      <c r="J73" s="151">
        <f>((INDEX(Assumptions!$C$8:$C$46,MATCH("Total Queen",Assumptions!$A$8:$A$46,0)))*((J$19+J$20)*INDEX(Assumptions!$E$78:$E$83,MATCH('Cash flow forecast'!$B73,Assumptions!$A$78:$A$83,0))))</f>
        <v>0</v>
      </c>
      <c r="K73" s="151">
        <f>((INDEX(Assumptions!$C$8:$C$46,MATCH("Total Queen",Assumptions!$A$8:$A$46,0)))*((K$19+K$20)*INDEX(Assumptions!$E$78:$E$83,MATCH('Cash flow forecast'!$B73,Assumptions!$A$78:$A$83,0))))</f>
        <v>15600</v>
      </c>
      <c r="L73" s="151">
        <f>((INDEX(Assumptions!$C$8:$C$46,MATCH("Total Queen",Assumptions!$A$8:$A$46,0)))*((L$19+L$20)*INDEX(Assumptions!$E$78:$E$83,MATCH('Cash flow forecast'!$B73,Assumptions!$A$78:$A$83,0))))</f>
        <v>0</v>
      </c>
      <c r="M73" s="151">
        <f>((INDEX(Assumptions!$C$8:$C$46,MATCH("Total Queen",Assumptions!$A$8:$A$46,0)))*((M$19+M$20)*INDEX(Assumptions!$E$78:$E$83,MATCH('Cash flow forecast'!$B73,Assumptions!$A$78:$A$83,0))))</f>
        <v>0</v>
      </c>
      <c r="N73" s="160">
        <f>((INDEX(Assumptions!$C$8:$C$46,MATCH("Total Queen",Assumptions!$A$8:$A$46,0)))*((N$19+N$20)*INDEX(Assumptions!$E$78:$E$83,MATCH('Cash flow forecast'!$B73,Assumptions!$A$78:$A$83,0))))</f>
        <v>0</v>
      </c>
      <c r="O73" s="150">
        <f>((INDEX(Assumptions!$C$8:$C$46,MATCH("Total Queen",Assumptions!$A$8:$A$46,0)))*((O$19+O$20)*INDEX(Assumptions!$E$78:$E$83,MATCH('Cash flow forecast'!$B73,Assumptions!$A$78:$A$83,0))))</f>
        <v>15600</v>
      </c>
      <c r="P73" s="151">
        <f>((INDEX(Assumptions!$C$8:$C$46,MATCH("Total Queen",Assumptions!$A$8:$A$46,0)))*((P$19+P$20)*INDEX(Assumptions!$E$78:$E$83,MATCH('Cash flow forecast'!$B73,Assumptions!$A$78:$A$83,0))))</f>
        <v>0</v>
      </c>
      <c r="Q73" s="151">
        <f>((INDEX(Assumptions!$C$8:$C$46,MATCH("Total Queen",Assumptions!$A$8:$A$46,0)))*((Q$19+Q$20)*INDEX(Assumptions!$E$78:$E$83,MATCH('Cash flow forecast'!$B73,Assumptions!$A$78:$A$83,0))))</f>
        <v>15600</v>
      </c>
      <c r="R73" s="151">
        <f>((INDEX(Assumptions!$C$8:$C$46,MATCH("Total Queen",Assumptions!$A$8:$A$46,0)))*((R$19+R$20)*INDEX(Assumptions!$E$78:$E$83,MATCH('Cash flow forecast'!$B73,Assumptions!$A$78:$A$83,0))))</f>
        <v>0</v>
      </c>
      <c r="S73" s="151">
        <f>((INDEX(Assumptions!$C$8:$C$46,MATCH("Total Queen",Assumptions!$A$8:$A$46,0)))*((S$19+S$20)*INDEX(Assumptions!$E$78:$E$83,MATCH('Cash flow forecast'!$B73,Assumptions!$A$78:$A$83,0))))</f>
        <v>0</v>
      </c>
      <c r="T73" s="151">
        <f>((INDEX(Assumptions!$C$8:$C$46,MATCH("Total Queen",Assumptions!$A$8:$A$46,0)))*((T$19+T$20)*INDEX(Assumptions!$E$78:$E$83,MATCH('Cash flow forecast'!$B73,Assumptions!$A$78:$A$83,0))))</f>
        <v>0</v>
      </c>
      <c r="U73" s="151">
        <f>((INDEX(Assumptions!$C$8:$C$46,MATCH("Total Queen",Assumptions!$A$8:$A$46,0)))*((U$19+U$20)*INDEX(Assumptions!$E$78:$E$83,MATCH('Cash flow forecast'!$B73,Assumptions!$A$78:$A$83,0))))</f>
        <v>15600</v>
      </c>
      <c r="V73" s="151">
        <f>((INDEX(Assumptions!$C$8:$C$46,MATCH("Total Queen",Assumptions!$A$8:$A$46,0)))*((V$19+V$20)*INDEX(Assumptions!$E$78:$E$83,MATCH('Cash flow forecast'!$B73,Assumptions!$A$78:$A$83,0))))</f>
        <v>0</v>
      </c>
      <c r="W73" s="151">
        <f>((INDEX(Assumptions!$C$8:$C$46,MATCH("Total Queen",Assumptions!$A$8:$A$46,0)))*((W$19+W$20)*INDEX(Assumptions!$E$78:$E$83,MATCH('Cash flow forecast'!$B73,Assumptions!$A$78:$A$83,0))))</f>
        <v>15600</v>
      </c>
      <c r="X73" s="151">
        <f>((INDEX(Assumptions!$C$8:$C$46,MATCH("Total Queen",Assumptions!$A$8:$A$46,0)))*((X$19+X$20)*INDEX(Assumptions!$E$78:$E$83,MATCH('Cash flow forecast'!$B73,Assumptions!$A$78:$A$83,0))))</f>
        <v>0</v>
      </c>
      <c r="Y73" s="151">
        <f>((INDEX(Assumptions!$C$8:$C$46,MATCH("Total Queen",Assumptions!$A$8:$A$46,0)))*((Y$19+Y$20)*INDEX(Assumptions!$E$78:$E$83,MATCH('Cash flow forecast'!$B73,Assumptions!$A$78:$A$83,0))))</f>
        <v>0</v>
      </c>
      <c r="Z73" s="152">
        <f>((INDEX(Assumptions!$C$8:$C$46,MATCH("Total Queen",Assumptions!$A$8:$A$46,0)))*((Z$19+Z$20)*INDEX(Assumptions!$E$78:$E$83,MATCH('Cash flow forecast'!$B73,Assumptions!$A$78:$A$83,0))))</f>
        <v>0</v>
      </c>
      <c r="AA73" s="150">
        <f t="shared" si="100"/>
        <v>15600</v>
      </c>
      <c r="AB73" s="151">
        <f t="shared" si="100"/>
        <v>15600</v>
      </c>
      <c r="AC73" s="151">
        <f t="shared" si="100"/>
        <v>15600</v>
      </c>
      <c r="AD73" s="152">
        <f t="shared" si="100"/>
        <v>15600</v>
      </c>
      <c r="AE73" s="154">
        <f t="shared" si="92"/>
        <v>62400</v>
      </c>
      <c r="AF73" s="150">
        <f t="shared" si="102"/>
        <v>15600</v>
      </c>
      <c r="AG73" s="151">
        <f t="shared" si="101"/>
        <v>15600</v>
      </c>
      <c r="AH73" s="151">
        <f t="shared" si="101"/>
        <v>15600</v>
      </c>
      <c r="AI73" s="152">
        <f t="shared" si="101"/>
        <v>15600</v>
      </c>
      <c r="AJ73" s="155">
        <f t="shared" si="103"/>
        <v>62400</v>
      </c>
      <c r="AK73" s="60">
        <f t="shared" si="96"/>
        <v>0.12643207815257537</v>
      </c>
    </row>
    <row r="74" spans="2:37" ht="22.15" hidden="1" customHeight="1" outlineLevel="1" x14ac:dyDescent="0.25">
      <c r="B74" s="91" t="s">
        <v>48</v>
      </c>
      <c r="C74" s="150">
        <f>((INDEX(Assumptions!$C$8:$C$46,MATCH("Total King",Assumptions!$A$8:$A$46,0)))*((C$19+C$20)*INDEX(Assumptions!$E$78:$E$83,MATCH('Cash flow forecast'!$B74,Assumptions!$A$78:$A$83,0))))</f>
        <v>2550</v>
      </c>
      <c r="D74" s="151">
        <f>((INDEX(Assumptions!$C$8:$C$46,MATCH("Total King",Assumptions!$A$8:$A$46,0)))*((D$19+D$20)*INDEX(Assumptions!$E$78:$E$83,MATCH('Cash flow forecast'!$B74,Assumptions!$A$78:$A$83,0))))</f>
        <v>0</v>
      </c>
      <c r="E74" s="151">
        <f>((INDEX(Assumptions!$C$8:$C$46,MATCH("Total King",Assumptions!$A$8:$A$46,0)))*((E$19+E$20)*INDEX(Assumptions!$E$78:$E$83,MATCH('Cash flow forecast'!$B74,Assumptions!$A$78:$A$83,0))))</f>
        <v>2550</v>
      </c>
      <c r="F74" s="151">
        <f>((INDEX(Assumptions!$C$8:$C$46,MATCH("Total King",Assumptions!$A$8:$A$46,0)))*((F$19+F$20)*INDEX(Assumptions!$E$78:$E$83,MATCH('Cash flow forecast'!$B74,Assumptions!$A$78:$A$83,0))))</f>
        <v>0</v>
      </c>
      <c r="G74" s="151">
        <f>((INDEX(Assumptions!$C$8:$C$46,MATCH("Total King",Assumptions!$A$8:$A$46,0)))*((G$19+G$20)*INDEX(Assumptions!$E$78:$E$83,MATCH('Cash flow forecast'!$B74,Assumptions!$A$78:$A$83,0))))</f>
        <v>0</v>
      </c>
      <c r="H74" s="151">
        <f>((INDEX(Assumptions!$C$8:$C$46,MATCH("Total King",Assumptions!$A$8:$A$46,0)))*((H$19+H$20)*INDEX(Assumptions!$E$78:$E$83,MATCH('Cash flow forecast'!$B74,Assumptions!$A$78:$A$83,0))))</f>
        <v>0</v>
      </c>
      <c r="I74" s="151">
        <f>((INDEX(Assumptions!$C$8:$C$46,MATCH("Total King",Assumptions!$A$8:$A$46,0)))*((I$19+I$20)*INDEX(Assumptions!$E$78:$E$83,MATCH('Cash flow forecast'!$B74,Assumptions!$A$78:$A$83,0))))</f>
        <v>2550</v>
      </c>
      <c r="J74" s="151">
        <f>((INDEX(Assumptions!$C$8:$C$46,MATCH("Total King",Assumptions!$A$8:$A$46,0)))*((J$19+J$20)*INDEX(Assumptions!$E$78:$E$83,MATCH('Cash flow forecast'!$B74,Assumptions!$A$78:$A$83,0))))</f>
        <v>0</v>
      </c>
      <c r="K74" s="151">
        <f>((INDEX(Assumptions!$C$8:$C$46,MATCH("Total King",Assumptions!$A$8:$A$46,0)))*((K$19+K$20)*INDEX(Assumptions!$E$78:$E$83,MATCH('Cash flow forecast'!$B74,Assumptions!$A$78:$A$83,0))))</f>
        <v>2550</v>
      </c>
      <c r="L74" s="151">
        <f>((INDEX(Assumptions!$C$8:$C$46,MATCH("Total King",Assumptions!$A$8:$A$46,0)))*((L$19+L$20)*INDEX(Assumptions!$E$78:$E$83,MATCH('Cash flow forecast'!$B74,Assumptions!$A$78:$A$83,0))))</f>
        <v>0</v>
      </c>
      <c r="M74" s="151">
        <f>((INDEX(Assumptions!$C$8:$C$46,MATCH("Total King",Assumptions!$A$8:$A$46,0)))*((M$19+M$20)*INDEX(Assumptions!$E$78:$E$83,MATCH('Cash flow forecast'!$B74,Assumptions!$A$78:$A$83,0))))</f>
        <v>0</v>
      </c>
      <c r="N74" s="160">
        <f>((INDEX(Assumptions!$C$8:$C$46,MATCH("Total King",Assumptions!$A$8:$A$46,0)))*((N$19+N$20)*INDEX(Assumptions!$E$78:$E$83,MATCH('Cash flow forecast'!$B74,Assumptions!$A$78:$A$83,0))))</f>
        <v>0</v>
      </c>
      <c r="O74" s="150">
        <f>((INDEX(Assumptions!$C$8:$C$46,MATCH("Total King",Assumptions!$A$8:$A$46,0)))*((O$19+O$20)*INDEX(Assumptions!$E$78:$E$83,MATCH('Cash flow forecast'!$B74,Assumptions!$A$78:$A$83,0))))</f>
        <v>2550</v>
      </c>
      <c r="P74" s="151">
        <f>((INDEX(Assumptions!$C$8:$C$46,MATCH("Total King",Assumptions!$A$8:$A$46,0)))*((P$19+P$20)*INDEX(Assumptions!$E$78:$E$83,MATCH('Cash flow forecast'!$B74,Assumptions!$A$78:$A$83,0))))</f>
        <v>0</v>
      </c>
      <c r="Q74" s="151">
        <f>((INDEX(Assumptions!$C$8:$C$46,MATCH("Total King",Assumptions!$A$8:$A$46,0)))*((Q$19+Q$20)*INDEX(Assumptions!$E$78:$E$83,MATCH('Cash flow forecast'!$B74,Assumptions!$A$78:$A$83,0))))</f>
        <v>2550</v>
      </c>
      <c r="R74" s="151">
        <f>((INDEX(Assumptions!$C$8:$C$46,MATCH("Total King",Assumptions!$A$8:$A$46,0)))*((R$19+R$20)*INDEX(Assumptions!$E$78:$E$83,MATCH('Cash flow forecast'!$B74,Assumptions!$A$78:$A$83,0))))</f>
        <v>0</v>
      </c>
      <c r="S74" s="151">
        <f>((INDEX(Assumptions!$C$8:$C$46,MATCH("Total King",Assumptions!$A$8:$A$46,0)))*((S$19+S$20)*INDEX(Assumptions!$E$78:$E$83,MATCH('Cash flow forecast'!$B74,Assumptions!$A$78:$A$83,0))))</f>
        <v>0</v>
      </c>
      <c r="T74" s="151">
        <f>((INDEX(Assumptions!$C$8:$C$46,MATCH("Total King",Assumptions!$A$8:$A$46,0)))*((T$19+T$20)*INDEX(Assumptions!$E$78:$E$83,MATCH('Cash flow forecast'!$B74,Assumptions!$A$78:$A$83,0))))</f>
        <v>0</v>
      </c>
      <c r="U74" s="151">
        <f>((INDEX(Assumptions!$C$8:$C$46,MATCH("Total King",Assumptions!$A$8:$A$46,0)))*((U$19+U$20)*INDEX(Assumptions!$E$78:$E$83,MATCH('Cash flow forecast'!$B74,Assumptions!$A$78:$A$83,0))))</f>
        <v>2550</v>
      </c>
      <c r="V74" s="151">
        <f>((INDEX(Assumptions!$C$8:$C$46,MATCH("Total King",Assumptions!$A$8:$A$46,0)))*((V$19+V$20)*INDEX(Assumptions!$E$78:$E$83,MATCH('Cash flow forecast'!$B74,Assumptions!$A$78:$A$83,0))))</f>
        <v>0</v>
      </c>
      <c r="W74" s="151">
        <f>((INDEX(Assumptions!$C$8:$C$46,MATCH("Total King",Assumptions!$A$8:$A$46,0)))*((W$19+W$20)*INDEX(Assumptions!$E$78:$E$83,MATCH('Cash flow forecast'!$B74,Assumptions!$A$78:$A$83,0))))</f>
        <v>2550</v>
      </c>
      <c r="X74" s="151">
        <f>((INDEX(Assumptions!$C$8:$C$46,MATCH("Total King",Assumptions!$A$8:$A$46,0)))*((X$19+X$20)*INDEX(Assumptions!$E$78:$E$83,MATCH('Cash flow forecast'!$B74,Assumptions!$A$78:$A$83,0))))</f>
        <v>0</v>
      </c>
      <c r="Y74" s="151">
        <f>((INDEX(Assumptions!$C$8:$C$46,MATCH("Total King",Assumptions!$A$8:$A$46,0)))*((Y$19+Y$20)*INDEX(Assumptions!$E$78:$E$83,MATCH('Cash flow forecast'!$B74,Assumptions!$A$78:$A$83,0))))</f>
        <v>0</v>
      </c>
      <c r="Z74" s="152">
        <f>((INDEX(Assumptions!$C$8:$C$46,MATCH("Total King",Assumptions!$A$8:$A$46,0)))*((Z$19+Z$20)*INDEX(Assumptions!$E$78:$E$83,MATCH('Cash flow forecast'!$B74,Assumptions!$A$78:$A$83,0))))</f>
        <v>0</v>
      </c>
      <c r="AA74" s="150">
        <f t="shared" si="100"/>
        <v>2550</v>
      </c>
      <c r="AB74" s="151">
        <f t="shared" si="100"/>
        <v>2550</v>
      </c>
      <c r="AC74" s="151">
        <f t="shared" si="100"/>
        <v>2550</v>
      </c>
      <c r="AD74" s="152">
        <f t="shared" si="100"/>
        <v>2550</v>
      </c>
      <c r="AE74" s="154">
        <f t="shared" si="92"/>
        <v>10200</v>
      </c>
      <c r="AF74" s="150">
        <f t="shared" si="102"/>
        <v>2550</v>
      </c>
      <c r="AG74" s="151">
        <f t="shared" si="101"/>
        <v>2550</v>
      </c>
      <c r="AH74" s="151">
        <f t="shared" si="101"/>
        <v>2550</v>
      </c>
      <c r="AI74" s="152">
        <f t="shared" si="101"/>
        <v>2550</v>
      </c>
      <c r="AJ74" s="155">
        <f t="shared" si="103"/>
        <v>10200</v>
      </c>
      <c r="AK74" s="60">
        <f t="shared" si="96"/>
        <v>2.0666782005709435E-2</v>
      </c>
    </row>
    <row r="75" spans="2:37" ht="22.15" hidden="1" customHeight="1" outlineLevel="1" x14ac:dyDescent="0.25">
      <c r="B75" s="91" t="s">
        <v>49</v>
      </c>
      <c r="C75" s="161">
        <f>((INDEX(Assumptions!$C$8:$C$46,MATCH("Total Universal",Assumptions!$A$8:$A$46,0)))*((C$19+C$20)*INDEX(Assumptions!$E$78:$E$83,MATCH('Cash flow forecast'!$B75,Assumptions!$A$78:$A$83,0))))</f>
        <v>0</v>
      </c>
      <c r="D75" s="162">
        <f>((INDEX(Assumptions!$C$8:$C$46,MATCH("Total Universal",Assumptions!$A$8:$A$46,0)))*((D$19+D$20)*INDEX(Assumptions!$E$78:$E$83,MATCH('Cash flow forecast'!$B75,Assumptions!$A$78:$A$83,0))))</f>
        <v>0</v>
      </c>
      <c r="E75" s="162">
        <f>((INDEX(Assumptions!$C$8:$C$46,MATCH("Total Universal",Assumptions!$A$8:$A$46,0)))*((E$19+E$20)*INDEX(Assumptions!$E$78:$E$83,MATCH('Cash flow forecast'!$B75,Assumptions!$A$78:$A$83,0))))</f>
        <v>0</v>
      </c>
      <c r="F75" s="162">
        <f>((INDEX(Assumptions!$C$8:$C$46,MATCH("Total Universal",Assumptions!$A$8:$A$46,0)))*((F$19+F$20)*INDEX(Assumptions!$E$78:$E$83,MATCH('Cash flow forecast'!$B75,Assumptions!$A$78:$A$83,0))))</f>
        <v>0</v>
      </c>
      <c r="G75" s="162">
        <f>((INDEX(Assumptions!$C$8:$C$46,MATCH("Total Universal",Assumptions!$A$8:$A$46,0)))*((G$19+G$20)*INDEX(Assumptions!$E$78:$E$83,MATCH('Cash flow forecast'!$B75,Assumptions!$A$78:$A$83,0))))</f>
        <v>0</v>
      </c>
      <c r="H75" s="162">
        <f>((INDEX(Assumptions!$C$8:$C$46,MATCH("Total Universal",Assumptions!$A$8:$A$46,0)))*((H$19+H$20)*INDEX(Assumptions!$E$78:$E$83,MATCH('Cash flow forecast'!$B75,Assumptions!$A$78:$A$83,0))))</f>
        <v>0</v>
      </c>
      <c r="I75" s="162">
        <f>((INDEX(Assumptions!$C$8:$C$46,MATCH("Total Universal",Assumptions!$A$8:$A$46,0)))*((I$19+I$20)*INDEX(Assumptions!$E$78:$E$83,MATCH('Cash flow forecast'!$B75,Assumptions!$A$78:$A$83,0))))</f>
        <v>0</v>
      </c>
      <c r="J75" s="162">
        <f>((INDEX(Assumptions!$C$8:$C$46,MATCH("Total Universal",Assumptions!$A$8:$A$46,0)))*((J$19+J$20)*INDEX(Assumptions!$E$78:$E$83,MATCH('Cash flow forecast'!$B75,Assumptions!$A$78:$A$83,0))))</f>
        <v>0</v>
      </c>
      <c r="K75" s="162">
        <f>((INDEX(Assumptions!$C$8:$C$46,MATCH("Total Universal",Assumptions!$A$8:$A$46,0)))*((K$19+K$20)*INDEX(Assumptions!$E$78:$E$83,MATCH('Cash flow forecast'!$B75,Assumptions!$A$78:$A$83,0))))</f>
        <v>0</v>
      </c>
      <c r="L75" s="162">
        <f>((INDEX(Assumptions!$C$8:$C$46,MATCH("Total Universal",Assumptions!$A$8:$A$46,0)))*((L$19+L$20)*INDEX(Assumptions!$E$78:$E$83,MATCH('Cash flow forecast'!$B75,Assumptions!$A$78:$A$83,0))))</f>
        <v>0</v>
      </c>
      <c r="M75" s="162">
        <f>((INDEX(Assumptions!$C$8:$C$46,MATCH("Total Universal",Assumptions!$A$8:$A$46,0)))*((M$19+M$20)*INDEX(Assumptions!$E$78:$E$83,MATCH('Cash flow forecast'!$B75,Assumptions!$A$78:$A$83,0))))</f>
        <v>0</v>
      </c>
      <c r="N75" s="163">
        <f>((INDEX(Assumptions!$C$8:$C$46,MATCH("Total Universal",Assumptions!$A$8:$A$46,0)))*((N$19+N$20)*INDEX(Assumptions!$E$78:$E$83,MATCH('Cash flow forecast'!$B75,Assumptions!$A$78:$A$83,0))))</f>
        <v>0</v>
      </c>
      <c r="O75" s="150">
        <f>((INDEX(Assumptions!$C$8:$C$46,MATCH("Total Universal",Assumptions!$A$8:$A$46,0)))*((O$19+O$20)*INDEX(Assumptions!$E$78:$E$83,MATCH('Cash flow forecast'!$B75,Assumptions!$A$78:$A$83,0))))</f>
        <v>0</v>
      </c>
      <c r="P75" s="151">
        <f>((INDEX(Assumptions!$C$8:$C$46,MATCH("Total Universal",Assumptions!$A$8:$A$46,0)))*((P$19+P$20)*INDEX(Assumptions!$E$78:$E$83,MATCH('Cash flow forecast'!$B75,Assumptions!$A$78:$A$83,0))))</f>
        <v>0</v>
      </c>
      <c r="Q75" s="151">
        <f>((INDEX(Assumptions!$C$8:$C$46,MATCH("Total Universal",Assumptions!$A$8:$A$46,0)))*((Q$19+Q$20)*INDEX(Assumptions!$E$78:$E$83,MATCH('Cash flow forecast'!$B75,Assumptions!$A$78:$A$83,0))))</f>
        <v>0</v>
      </c>
      <c r="R75" s="151">
        <f>((INDEX(Assumptions!$C$8:$C$46,MATCH("Total Universal",Assumptions!$A$8:$A$46,0)))*((R$19+R$20)*INDEX(Assumptions!$E$78:$E$83,MATCH('Cash flow forecast'!$B75,Assumptions!$A$78:$A$83,0))))</f>
        <v>0</v>
      </c>
      <c r="S75" s="151">
        <f>((INDEX(Assumptions!$C$8:$C$46,MATCH("Total Universal",Assumptions!$A$8:$A$46,0)))*((S$19+S$20)*INDEX(Assumptions!$E$78:$E$83,MATCH('Cash flow forecast'!$B75,Assumptions!$A$78:$A$83,0))))</f>
        <v>0</v>
      </c>
      <c r="T75" s="151">
        <f>((INDEX(Assumptions!$C$8:$C$46,MATCH("Total Universal",Assumptions!$A$8:$A$46,0)))*((T$19+T$20)*INDEX(Assumptions!$E$78:$E$83,MATCH('Cash flow forecast'!$B75,Assumptions!$A$78:$A$83,0))))</f>
        <v>0</v>
      </c>
      <c r="U75" s="151">
        <f>((INDEX(Assumptions!$C$8:$C$46,MATCH("Total Universal",Assumptions!$A$8:$A$46,0)))*((U$19+U$20)*INDEX(Assumptions!$E$78:$E$83,MATCH('Cash flow forecast'!$B75,Assumptions!$A$78:$A$83,0))))</f>
        <v>0</v>
      </c>
      <c r="V75" s="151">
        <f>((INDEX(Assumptions!$C$8:$C$46,MATCH("Total Universal",Assumptions!$A$8:$A$46,0)))*((V$19+V$20)*INDEX(Assumptions!$E$78:$E$83,MATCH('Cash flow forecast'!$B75,Assumptions!$A$78:$A$83,0))))</f>
        <v>0</v>
      </c>
      <c r="W75" s="151">
        <f>((INDEX(Assumptions!$C$8:$C$46,MATCH("Total Universal",Assumptions!$A$8:$A$46,0)))*((W$19+W$20)*INDEX(Assumptions!$E$78:$E$83,MATCH('Cash flow forecast'!$B75,Assumptions!$A$78:$A$83,0))))</f>
        <v>0</v>
      </c>
      <c r="X75" s="151">
        <f>((INDEX(Assumptions!$C$8:$C$46,MATCH("Total Universal",Assumptions!$A$8:$A$46,0)))*((X$19+X$20)*INDEX(Assumptions!$E$78:$E$83,MATCH('Cash flow forecast'!$B75,Assumptions!$A$78:$A$83,0))))</f>
        <v>0</v>
      </c>
      <c r="Y75" s="151">
        <f>((INDEX(Assumptions!$C$8:$C$46,MATCH("Total Universal",Assumptions!$A$8:$A$46,0)))*((Y$19+Y$20)*INDEX(Assumptions!$E$78:$E$83,MATCH('Cash flow forecast'!$B75,Assumptions!$A$78:$A$83,0))))</f>
        <v>0</v>
      </c>
      <c r="Z75" s="152">
        <f>((INDEX(Assumptions!$C$8:$C$46,MATCH("Total Universal",Assumptions!$A$8:$A$46,0)))*((Z$19+Z$20)*INDEX(Assumptions!$E$78:$E$83,MATCH('Cash flow forecast'!$B75,Assumptions!$A$78:$A$83,0))))</f>
        <v>0</v>
      </c>
      <c r="AA75" s="150">
        <f t="shared" si="100"/>
        <v>0</v>
      </c>
      <c r="AB75" s="151">
        <f t="shared" si="100"/>
        <v>0</v>
      </c>
      <c r="AC75" s="151">
        <f t="shared" si="100"/>
        <v>0</v>
      </c>
      <c r="AD75" s="152">
        <f t="shared" si="100"/>
        <v>0</v>
      </c>
      <c r="AE75" s="154">
        <f t="shared" si="92"/>
        <v>0</v>
      </c>
      <c r="AF75" s="150">
        <f t="shared" si="102"/>
        <v>0</v>
      </c>
      <c r="AG75" s="151">
        <f t="shared" si="101"/>
        <v>0</v>
      </c>
      <c r="AH75" s="151">
        <f t="shared" si="101"/>
        <v>0</v>
      </c>
      <c r="AI75" s="152">
        <f t="shared" si="101"/>
        <v>0</v>
      </c>
      <c r="AJ75" s="155">
        <f t="shared" si="103"/>
        <v>0</v>
      </c>
      <c r="AK75" s="60">
        <f t="shared" si="96"/>
        <v>0</v>
      </c>
    </row>
    <row r="76" spans="2:37" ht="22.15" hidden="1" customHeight="1" outlineLevel="1" x14ac:dyDescent="0.25">
      <c r="B76" s="96" t="s">
        <v>0</v>
      </c>
      <c r="C76" s="156">
        <f>SUM(C71:C75)</f>
        <v>19520.25</v>
      </c>
      <c r="D76" s="157">
        <f t="shared" ref="D76:Z76" si="104">SUM(D71:D75)</f>
        <v>0</v>
      </c>
      <c r="E76" s="157">
        <f t="shared" si="104"/>
        <v>19520.25</v>
      </c>
      <c r="F76" s="157">
        <f t="shared" si="104"/>
        <v>0</v>
      </c>
      <c r="G76" s="157">
        <f t="shared" si="104"/>
        <v>0</v>
      </c>
      <c r="H76" s="157">
        <f t="shared" si="104"/>
        <v>0</v>
      </c>
      <c r="I76" s="157">
        <f t="shared" si="104"/>
        <v>19520.25</v>
      </c>
      <c r="J76" s="157">
        <f t="shared" si="104"/>
        <v>0</v>
      </c>
      <c r="K76" s="157">
        <f t="shared" si="104"/>
        <v>19520.25</v>
      </c>
      <c r="L76" s="157">
        <f t="shared" si="104"/>
        <v>0</v>
      </c>
      <c r="M76" s="157">
        <f t="shared" si="104"/>
        <v>0</v>
      </c>
      <c r="N76" s="157">
        <f t="shared" si="104"/>
        <v>0</v>
      </c>
      <c r="O76" s="156">
        <f t="shared" si="104"/>
        <v>19520.25</v>
      </c>
      <c r="P76" s="157">
        <f t="shared" si="104"/>
        <v>0</v>
      </c>
      <c r="Q76" s="157">
        <f t="shared" si="104"/>
        <v>19520.25</v>
      </c>
      <c r="R76" s="157">
        <f t="shared" si="104"/>
        <v>0</v>
      </c>
      <c r="S76" s="157">
        <f t="shared" si="104"/>
        <v>0</v>
      </c>
      <c r="T76" s="157">
        <f t="shared" si="104"/>
        <v>0</v>
      </c>
      <c r="U76" s="157">
        <f t="shared" si="104"/>
        <v>19520.25</v>
      </c>
      <c r="V76" s="157">
        <f t="shared" si="104"/>
        <v>0</v>
      </c>
      <c r="W76" s="157">
        <f t="shared" si="104"/>
        <v>19520.25</v>
      </c>
      <c r="X76" s="157">
        <f t="shared" si="104"/>
        <v>0</v>
      </c>
      <c r="Y76" s="157">
        <f t="shared" si="104"/>
        <v>0</v>
      </c>
      <c r="Z76" s="158">
        <f t="shared" si="104"/>
        <v>0</v>
      </c>
      <c r="AA76" s="156">
        <f>SUM(AA71:AA75)</f>
        <v>19520.25</v>
      </c>
      <c r="AB76" s="157">
        <f t="shared" ref="AB76:AD76" si="105">SUM(AB71:AB75)</f>
        <v>19520.25</v>
      </c>
      <c r="AC76" s="157">
        <f t="shared" si="105"/>
        <v>19520.25</v>
      </c>
      <c r="AD76" s="158">
        <f t="shared" si="105"/>
        <v>19520.25</v>
      </c>
      <c r="AE76" s="159">
        <f t="shared" si="92"/>
        <v>78081</v>
      </c>
      <c r="AF76" s="156">
        <f>SUM(AF71:AF75)</f>
        <v>19520.25</v>
      </c>
      <c r="AG76" s="157">
        <f t="shared" ref="AG76:AI76" si="106">SUM(AG71:AG75)</f>
        <v>19520.25</v>
      </c>
      <c r="AH76" s="157">
        <f t="shared" si="106"/>
        <v>19520.25</v>
      </c>
      <c r="AI76" s="158">
        <f t="shared" si="106"/>
        <v>19520.25</v>
      </c>
      <c r="AJ76" s="156">
        <f t="shared" si="103"/>
        <v>78081</v>
      </c>
      <c r="AK76" s="61">
        <f t="shared" si="96"/>
        <v>0.15820421625370573</v>
      </c>
    </row>
    <row r="77" spans="2:37" ht="22.15" hidden="1" customHeight="1" outlineLevel="1" x14ac:dyDescent="0.25">
      <c r="B77" s="90" t="s">
        <v>57</v>
      </c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241"/>
    </row>
    <row r="78" spans="2:37" ht="22.15" hidden="1" customHeight="1" outlineLevel="1" x14ac:dyDescent="0.25">
      <c r="B78" s="91" t="s">
        <v>45</v>
      </c>
      <c r="C78" s="144">
        <f>((INDEX(Assumptions!$C$8:$C$46,MATCH("Total Twin",Assumptions!$A$8:$A$46,0)))*((C$28+C$29)*INDEX(Assumptions!$E$96:$E$101,MATCH('Cash flow forecast'!$B78,Assumptions!$A$96:$A$101,0))))</f>
        <v>1370.25</v>
      </c>
      <c r="D78" s="145">
        <f>((INDEX(Assumptions!$C$8:$C$46,MATCH("Total Twin",Assumptions!$A$8:$A$46,0)))*((D$28+D$29)*INDEX(Assumptions!$E$96:$E$101,MATCH('Cash flow forecast'!$B78,Assumptions!$A$96:$A$101,0))))</f>
        <v>0</v>
      </c>
      <c r="E78" s="145">
        <f>((INDEX(Assumptions!$C$8:$C$46,MATCH("Total Twin",Assumptions!$A$8:$A$46,0)))*((E$28+E$29)*INDEX(Assumptions!$E$96:$E$101,MATCH('Cash flow forecast'!$B78,Assumptions!$A$96:$A$101,0))))</f>
        <v>1370.25</v>
      </c>
      <c r="F78" s="145">
        <f>((INDEX(Assumptions!$C$8:$C$46,MATCH("Total Twin",Assumptions!$A$8:$A$46,0)))*((F$28+F$29)*INDEX(Assumptions!$E$96:$E$101,MATCH('Cash flow forecast'!$B78,Assumptions!$A$96:$A$101,0))))</f>
        <v>0</v>
      </c>
      <c r="G78" s="145">
        <f>((INDEX(Assumptions!$C$8:$C$46,MATCH("Total Twin",Assumptions!$A$8:$A$46,0)))*((G$28+G$29)*INDEX(Assumptions!$E$96:$E$101,MATCH('Cash flow forecast'!$B78,Assumptions!$A$96:$A$101,0))))</f>
        <v>0</v>
      </c>
      <c r="H78" s="145">
        <f>((INDEX(Assumptions!$C$8:$C$46,MATCH("Total Twin",Assumptions!$A$8:$A$46,0)))*((H$28+H$29)*INDEX(Assumptions!$E$96:$E$101,MATCH('Cash flow forecast'!$B78,Assumptions!$A$96:$A$101,0))))</f>
        <v>0</v>
      </c>
      <c r="I78" s="145">
        <f>((INDEX(Assumptions!$C$8:$C$46,MATCH("Total Twin",Assumptions!$A$8:$A$46,0)))*((I$28+I$29)*INDEX(Assumptions!$E$96:$E$101,MATCH('Cash flow forecast'!$B78,Assumptions!$A$96:$A$101,0))))</f>
        <v>1370.25</v>
      </c>
      <c r="J78" s="145">
        <f>((INDEX(Assumptions!$C$8:$C$46,MATCH("Total Twin",Assumptions!$A$8:$A$46,0)))*((J$28+J$29)*INDEX(Assumptions!$E$96:$E$101,MATCH('Cash flow forecast'!$B78,Assumptions!$A$96:$A$101,0))))</f>
        <v>0</v>
      </c>
      <c r="K78" s="145">
        <f>((INDEX(Assumptions!$C$8:$C$46,MATCH("Total Twin",Assumptions!$A$8:$A$46,0)))*((K$28+K$29)*INDEX(Assumptions!$E$96:$E$101,MATCH('Cash flow forecast'!$B78,Assumptions!$A$96:$A$101,0))))</f>
        <v>1370.25</v>
      </c>
      <c r="L78" s="145">
        <f>((INDEX(Assumptions!$C$8:$C$46,MATCH("Total Twin",Assumptions!$A$8:$A$46,0)))*((L$28+L$29)*INDEX(Assumptions!$E$96:$E$101,MATCH('Cash flow forecast'!$B78,Assumptions!$A$96:$A$101,0))))</f>
        <v>0</v>
      </c>
      <c r="M78" s="145">
        <f>((INDEX(Assumptions!$C$8:$C$46,MATCH("Total Twin",Assumptions!$A$8:$A$46,0)))*((M$28+M$29)*INDEX(Assumptions!$E$96:$E$101,MATCH('Cash flow forecast'!$B78,Assumptions!$A$96:$A$101,0))))</f>
        <v>0</v>
      </c>
      <c r="N78" s="146">
        <f>((INDEX(Assumptions!$C$8:$C$46,MATCH("Total Twin",Assumptions!$A$8:$A$46,0)))*((N$28+N$29)*INDEX(Assumptions!$E$96:$E$101,MATCH('Cash flow forecast'!$B78,Assumptions!$A$96:$A$101,0))))</f>
        <v>0</v>
      </c>
      <c r="O78" s="144">
        <f>((INDEX(Assumptions!$C$8:$C$46,MATCH("Total Twin",Assumptions!$A$8:$A$46,0)))*((O$28+O$29)*INDEX(Assumptions!$E$96:$E$101,MATCH('Cash flow forecast'!$B78,Assumptions!$A$96:$A$101,0))))</f>
        <v>1370.25</v>
      </c>
      <c r="P78" s="145">
        <f>((INDEX(Assumptions!$C$8:$C$46,MATCH("Total Twin",Assumptions!$A$8:$A$46,0)))*((P$28+P$29)*INDEX(Assumptions!$E$96:$E$101,MATCH('Cash flow forecast'!$B78,Assumptions!$A$96:$A$101,0))))</f>
        <v>0</v>
      </c>
      <c r="Q78" s="145">
        <f>((INDEX(Assumptions!$C$8:$C$46,MATCH("Total Twin",Assumptions!$A$8:$A$46,0)))*((Q$28+Q$29)*INDEX(Assumptions!$E$96:$E$101,MATCH('Cash flow forecast'!$B78,Assumptions!$A$96:$A$101,0))))</f>
        <v>1370.25</v>
      </c>
      <c r="R78" s="145">
        <f>((INDEX(Assumptions!$C$8:$C$46,MATCH("Total Twin",Assumptions!$A$8:$A$46,0)))*((R$28+R$29)*INDEX(Assumptions!$E$96:$E$101,MATCH('Cash flow forecast'!$B78,Assumptions!$A$96:$A$101,0))))</f>
        <v>0</v>
      </c>
      <c r="S78" s="145">
        <f>((INDEX(Assumptions!$C$8:$C$46,MATCH("Total Twin",Assumptions!$A$8:$A$46,0)))*((S$28+S$29)*INDEX(Assumptions!$E$96:$E$101,MATCH('Cash flow forecast'!$B78,Assumptions!$A$96:$A$101,0))))</f>
        <v>0</v>
      </c>
      <c r="T78" s="145">
        <f>((INDEX(Assumptions!$C$8:$C$46,MATCH("Total Twin",Assumptions!$A$8:$A$46,0)))*((T$28+T$29)*INDEX(Assumptions!$E$96:$E$101,MATCH('Cash flow forecast'!$B78,Assumptions!$A$96:$A$101,0))))</f>
        <v>0</v>
      </c>
      <c r="U78" s="145">
        <f>((INDEX(Assumptions!$C$8:$C$46,MATCH("Total Twin",Assumptions!$A$8:$A$46,0)))*((U$28+U$29)*INDEX(Assumptions!$E$96:$E$101,MATCH('Cash flow forecast'!$B78,Assumptions!$A$96:$A$101,0))))</f>
        <v>1370.25</v>
      </c>
      <c r="V78" s="145">
        <f>((INDEX(Assumptions!$C$8:$C$46,MATCH("Total Twin",Assumptions!$A$8:$A$46,0)))*((V$28+V$29)*INDEX(Assumptions!$E$96:$E$101,MATCH('Cash flow forecast'!$B78,Assumptions!$A$96:$A$101,0))))</f>
        <v>0</v>
      </c>
      <c r="W78" s="145">
        <f>((INDEX(Assumptions!$C$8:$C$46,MATCH("Total Twin",Assumptions!$A$8:$A$46,0)))*((W$28+W$29)*INDEX(Assumptions!$E$96:$E$101,MATCH('Cash flow forecast'!$B78,Assumptions!$A$96:$A$101,0))))</f>
        <v>1370.25</v>
      </c>
      <c r="X78" s="145">
        <f>((INDEX(Assumptions!$C$8:$C$46,MATCH("Total Twin",Assumptions!$A$8:$A$46,0)))*((X$28+X$29)*INDEX(Assumptions!$E$96:$E$101,MATCH('Cash flow forecast'!$B78,Assumptions!$A$96:$A$101,0))))</f>
        <v>1370.25</v>
      </c>
      <c r="Y78" s="145">
        <f>((INDEX(Assumptions!$C$8:$C$46,MATCH("Total Twin",Assumptions!$A$8:$A$46,0)))*((Y$28+Y$29)*INDEX(Assumptions!$E$96:$E$101,MATCH('Cash flow forecast'!$B78,Assumptions!$A$96:$A$101,0))))</f>
        <v>0</v>
      </c>
      <c r="Z78" s="146">
        <f>((INDEX(Assumptions!$C$8:$C$46,MATCH("Total Twin",Assumptions!$A$8:$A$46,0)))*((Z$28+Z$29)*INDEX(Assumptions!$E$96:$E$101,MATCH('Cash flow forecast'!$B78,Assumptions!$A$96:$A$101,0))))</f>
        <v>0</v>
      </c>
      <c r="AA78" s="144">
        <f t="shared" ref="AA78:AD82" si="107">SUMIFS($C78:$N78,$C$6:$N$6,AA$5)</f>
        <v>1370.25</v>
      </c>
      <c r="AB78" s="145">
        <f t="shared" si="107"/>
        <v>1370.25</v>
      </c>
      <c r="AC78" s="145">
        <f t="shared" si="107"/>
        <v>1370.25</v>
      </c>
      <c r="AD78" s="146">
        <f t="shared" si="107"/>
        <v>1370.25</v>
      </c>
      <c r="AE78" s="148">
        <f t="shared" si="92"/>
        <v>5481</v>
      </c>
      <c r="AF78" s="144">
        <f>SUMIFS($O78:$Z78,$O$6:$Z$6,AF$5)</f>
        <v>1370.25</v>
      </c>
      <c r="AG78" s="145">
        <f t="shared" ref="AG78:AI82" si="108">SUMIFS($O78:$Z78,$O$6:$Z$6,AG$5)</f>
        <v>1370.25</v>
      </c>
      <c r="AH78" s="145">
        <f t="shared" si="108"/>
        <v>1370.25</v>
      </c>
      <c r="AI78" s="146">
        <f t="shared" si="108"/>
        <v>2740.5</v>
      </c>
      <c r="AJ78" s="149">
        <f>SUM($O78:$Z78)</f>
        <v>6851.25</v>
      </c>
      <c r="AK78" s="238">
        <f t="shared" si="96"/>
        <v>1.2493525607348538E-2</v>
      </c>
    </row>
    <row r="79" spans="2:37" ht="22.15" hidden="1" customHeight="1" outlineLevel="1" x14ac:dyDescent="0.25">
      <c r="B79" s="91" t="s">
        <v>46</v>
      </c>
      <c r="C79" s="150">
        <f>((INDEX(Assumptions!$C$8:$C$46,MATCH("Total Full",Assumptions!$A$8:$A$46,0)))*((C$28+C$29)*INDEX(Assumptions!$E$96:$E$101,MATCH('Cash flow forecast'!$B79,Assumptions!$A$96:$A$101,0))))</f>
        <v>0</v>
      </c>
      <c r="D79" s="151">
        <f>((INDEX(Assumptions!$C$8:$C$46,MATCH("Total Full",Assumptions!$A$8:$A$46,0)))*((D$28+D$29)*INDEX(Assumptions!$E$96:$E$101,MATCH('Cash flow forecast'!$B79,Assumptions!$A$96:$A$101,0))))</f>
        <v>0</v>
      </c>
      <c r="E79" s="151">
        <f>((INDEX(Assumptions!$C$8:$C$46,MATCH("Total Full",Assumptions!$A$8:$A$46,0)))*((E$28+E$29)*INDEX(Assumptions!$E$96:$E$101,MATCH('Cash flow forecast'!$B79,Assumptions!$A$96:$A$101,0))))</f>
        <v>0</v>
      </c>
      <c r="F79" s="151">
        <f>((INDEX(Assumptions!$C$8:$C$46,MATCH("Total Full",Assumptions!$A$8:$A$46,0)))*((F$28+F$29)*INDEX(Assumptions!$E$96:$E$101,MATCH('Cash flow forecast'!$B79,Assumptions!$A$96:$A$101,0))))</f>
        <v>0</v>
      </c>
      <c r="G79" s="151">
        <f>((INDEX(Assumptions!$C$8:$C$46,MATCH("Total Full",Assumptions!$A$8:$A$46,0)))*((G$28+G$29)*INDEX(Assumptions!$E$96:$E$101,MATCH('Cash flow forecast'!$B79,Assumptions!$A$96:$A$101,0))))</f>
        <v>0</v>
      </c>
      <c r="H79" s="151">
        <f>((INDEX(Assumptions!$C$8:$C$46,MATCH("Total Full",Assumptions!$A$8:$A$46,0)))*((H$28+H$29)*INDEX(Assumptions!$E$96:$E$101,MATCH('Cash flow forecast'!$B79,Assumptions!$A$96:$A$101,0))))</f>
        <v>0</v>
      </c>
      <c r="I79" s="151">
        <f>((INDEX(Assumptions!$C$8:$C$46,MATCH("Total Full",Assumptions!$A$8:$A$46,0)))*((I$28+I$29)*INDEX(Assumptions!$E$96:$E$101,MATCH('Cash flow forecast'!$B79,Assumptions!$A$96:$A$101,0))))</f>
        <v>0</v>
      </c>
      <c r="J79" s="151">
        <f>((INDEX(Assumptions!$C$8:$C$46,MATCH("Total Full",Assumptions!$A$8:$A$46,0)))*((J$28+J$29)*INDEX(Assumptions!$E$96:$E$101,MATCH('Cash flow forecast'!$B79,Assumptions!$A$96:$A$101,0))))</f>
        <v>0</v>
      </c>
      <c r="K79" s="151">
        <f>((INDEX(Assumptions!$C$8:$C$46,MATCH("Total Full",Assumptions!$A$8:$A$46,0)))*((K$28+K$29)*INDEX(Assumptions!$E$96:$E$101,MATCH('Cash flow forecast'!$B79,Assumptions!$A$96:$A$101,0))))</f>
        <v>0</v>
      </c>
      <c r="L79" s="151">
        <f>((INDEX(Assumptions!$C$8:$C$46,MATCH("Total Full",Assumptions!$A$8:$A$46,0)))*((L$28+L$29)*INDEX(Assumptions!$E$96:$E$101,MATCH('Cash flow forecast'!$B79,Assumptions!$A$96:$A$101,0))))</f>
        <v>0</v>
      </c>
      <c r="M79" s="151">
        <f>((INDEX(Assumptions!$C$8:$C$46,MATCH("Total Full",Assumptions!$A$8:$A$46,0)))*((M$28+M$29)*INDEX(Assumptions!$E$96:$E$101,MATCH('Cash flow forecast'!$B79,Assumptions!$A$96:$A$101,0))))</f>
        <v>0</v>
      </c>
      <c r="N79" s="152">
        <f>((INDEX(Assumptions!$C$8:$C$46,MATCH("Total Full",Assumptions!$A$8:$A$46,0)))*((N$28+N$29)*INDEX(Assumptions!$E$96:$E$101,MATCH('Cash flow forecast'!$B79,Assumptions!$A$96:$A$101,0))))</f>
        <v>0</v>
      </c>
      <c r="O79" s="150">
        <f>((INDEX(Assumptions!$C$8:$C$46,MATCH("Total Full",Assumptions!$A$8:$A$46,0)))*((O$28+O$29)*INDEX(Assumptions!$E$96:$E$101,MATCH('Cash flow forecast'!$B79,Assumptions!$A$96:$A$101,0))))</f>
        <v>0</v>
      </c>
      <c r="P79" s="151">
        <f>((INDEX(Assumptions!$C$8:$C$46,MATCH("Total Full",Assumptions!$A$8:$A$46,0)))*((P$28+P$29)*INDEX(Assumptions!$E$96:$E$101,MATCH('Cash flow forecast'!$B79,Assumptions!$A$96:$A$101,0))))</f>
        <v>0</v>
      </c>
      <c r="Q79" s="151">
        <f>((INDEX(Assumptions!$C$8:$C$46,MATCH("Total Full",Assumptions!$A$8:$A$46,0)))*((Q$28+Q$29)*INDEX(Assumptions!$E$96:$E$101,MATCH('Cash flow forecast'!$B79,Assumptions!$A$96:$A$101,0))))</f>
        <v>0</v>
      </c>
      <c r="R79" s="151">
        <f>((INDEX(Assumptions!$C$8:$C$46,MATCH("Total Full",Assumptions!$A$8:$A$46,0)))*((R$28+R$29)*INDEX(Assumptions!$E$96:$E$101,MATCH('Cash flow forecast'!$B79,Assumptions!$A$96:$A$101,0))))</f>
        <v>0</v>
      </c>
      <c r="S79" s="151">
        <f>((INDEX(Assumptions!$C$8:$C$46,MATCH("Total Full",Assumptions!$A$8:$A$46,0)))*((S$28+S$29)*INDEX(Assumptions!$E$96:$E$101,MATCH('Cash flow forecast'!$B79,Assumptions!$A$96:$A$101,0))))</f>
        <v>0</v>
      </c>
      <c r="T79" s="151">
        <f>((INDEX(Assumptions!$C$8:$C$46,MATCH("Total Full",Assumptions!$A$8:$A$46,0)))*((T$28+T$29)*INDEX(Assumptions!$E$96:$E$101,MATCH('Cash flow forecast'!$B79,Assumptions!$A$96:$A$101,0))))</f>
        <v>0</v>
      </c>
      <c r="U79" s="151">
        <f>((INDEX(Assumptions!$C$8:$C$46,MATCH("Total Full",Assumptions!$A$8:$A$46,0)))*((U$28+U$29)*INDEX(Assumptions!$E$96:$E$101,MATCH('Cash flow forecast'!$B79,Assumptions!$A$96:$A$101,0))))</f>
        <v>0</v>
      </c>
      <c r="V79" s="151">
        <f>((INDEX(Assumptions!$C$8:$C$46,MATCH("Total Full",Assumptions!$A$8:$A$46,0)))*((V$28+V$29)*INDEX(Assumptions!$E$96:$E$101,MATCH('Cash flow forecast'!$B79,Assumptions!$A$96:$A$101,0))))</f>
        <v>0</v>
      </c>
      <c r="W79" s="151">
        <f>((INDEX(Assumptions!$C$8:$C$46,MATCH("Total Full",Assumptions!$A$8:$A$46,0)))*((W$28+W$29)*INDEX(Assumptions!$E$96:$E$101,MATCH('Cash flow forecast'!$B79,Assumptions!$A$96:$A$101,0))))</f>
        <v>0</v>
      </c>
      <c r="X79" s="151">
        <f>((INDEX(Assumptions!$C$8:$C$46,MATCH("Total Full",Assumptions!$A$8:$A$46,0)))*((X$28+X$29)*INDEX(Assumptions!$E$96:$E$101,MATCH('Cash flow forecast'!$B79,Assumptions!$A$96:$A$101,0))))</f>
        <v>0</v>
      </c>
      <c r="Y79" s="151">
        <f>((INDEX(Assumptions!$C$8:$C$46,MATCH("Total Full",Assumptions!$A$8:$A$46,0)))*((Y$28+Y$29)*INDEX(Assumptions!$E$96:$E$101,MATCH('Cash flow forecast'!$B79,Assumptions!$A$96:$A$101,0))))</f>
        <v>0</v>
      </c>
      <c r="Z79" s="152">
        <f>((INDEX(Assumptions!$C$8:$C$46,MATCH("Total Full",Assumptions!$A$8:$A$46,0)))*((Z$28+Z$29)*INDEX(Assumptions!$E$96:$E$101,MATCH('Cash flow forecast'!$B79,Assumptions!$A$96:$A$101,0))))</f>
        <v>0</v>
      </c>
      <c r="AA79" s="150">
        <f t="shared" si="107"/>
        <v>0</v>
      </c>
      <c r="AB79" s="151">
        <f t="shared" si="107"/>
        <v>0</v>
      </c>
      <c r="AC79" s="151">
        <f t="shared" si="107"/>
        <v>0</v>
      </c>
      <c r="AD79" s="152">
        <f t="shared" si="107"/>
        <v>0</v>
      </c>
      <c r="AE79" s="154">
        <f t="shared" si="92"/>
        <v>0</v>
      </c>
      <c r="AF79" s="150">
        <f t="shared" ref="AF79:AF82" si="109">SUMIFS($O79:$Z79,$O$6:$Z$6,AF$5)</f>
        <v>0</v>
      </c>
      <c r="AG79" s="151">
        <f t="shared" si="108"/>
        <v>0</v>
      </c>
      <c r="AH79" s="151">
        <f t="shared" si="108"/>
        <v>0</v>
      </c>
      <c r="AI79" s="152">
        <f t="shared" si="108"/>
        <v>0</v>
      </c>
      <c r="AJ79" s="155">
        <f t="shared" ref="AJ79:AJ83" si="110">SUM($O79:$Z79)</f>
        <v>0</v>
      </c>
      <c r="AK79" s="60">
        <f t="shared" si="96"/>
        <v>0</v>
      </c>
    </row>
    <row r="80" spans="2:37" ht="22.15" hidden="1" customHeight="1" outlineLevel="1" x14ac:dyDescent="0.25">
      <c r="B80" s="91" t="s">
        <v>47</v>
      </c>
      <c r="C80" s="150">
        <f>((INDEX(Assumptions!$C$8:$C$46,MATCH("Total Queen",Assumptions!$A$8:$A$46,0)))*((C$28+C$29)*INDEX(Assumptions!$E$96:$E$101,MATCH('Cash flow forecast'!$B80,Assumptions!$A$96:$A$101,0))))</f>
        <v>15600</v>
      </c>
      <c r="D80" s="151">
        <f>((INDEX(Assumptions!$C$8:$C$46,MATCH("Total Queen",Assumptions!$A$8:$A$46,0)))*((D$28+D$29)*INDEX(Assumptions!$E$96:$E$101,MATCH('Cash flow forecast'!$B80,Assumptions!$A$96:$A$101,0))))</f>
        <v>0</v>
      </c>
      <c r="E80" s="151">
        <f>((INDEX(Assumptions!$C$8:$C$46,MATCH("Total Queen",Assumptions!$A$8:$A$46,0)))*((E$28+E$29)*INDEX(Assumptions!$E$96:$E$101,MATCH('Cash flow forecast'!$B80,Assumptions!$A$96:$A$101,0))))</f>
        <v>15600</v>
      </c>
      <c r="F80" s="151">
        <f>((INDEX(Assumptions!$C$8:$C$46,MATCH("Total Queen",Assumptions!$A$8:$A$46,0)))*((F$28+F$29)*INDEX(Assumptions!$E$96:$E$101,MATCH('Cash flow forecast'!$B80,Assumptions!$A$96:$A$101,0))))</f>
        <v>0</v>
      </c>
      <c r="G80" s="151">
        <f>((INDEX(Assumptions!$C$8:$C$46,MATCH("Total Queen",Assumptions!$A$8:$A$46,0)))*((G$28+G$29)*INDEX(Assumptions!$E$96:$E$101,MATCH('Cash flow forecast'!$B80,Assumptions!$A$96:$A$101,0))))</f>
        <v>0</v>
      </c>
      <c r="H80" s="151">
        <f>((INDEX(Assumptions!$C$8:$C$46,MATCH("Total Queen",Assumptions!$A$8:$A$46,0)))*((H$28+H$29)*INDEX(Assumptions!$E$96:$E$101,MATCH('Cash flow forecast'!$B80,Assumptions!$A$96:$A$101,0))))</f>
        <v>0</v>
      </c>
      <c r="I80" s="151">
        <f>((INDEX(Assumptions!$C$8:$C$46,MATCH("Total Queen",Assumptions!$A$8:$A$46,0)))*((I$28+I$29)*INDEX(Assumptions!$E$96:$E$101,MATCH('Cash flow forecast'!$B80,Assumptions!$A$96:$A$101,0))))</f>
        <v>15600</v>
      </c>
      <c r="J80" s="151">
        <f>((INDEX(Assumptions!$C$8:$C$46,MATCH("Total Queen",Assumptions!$A$8:$A$46,0)))*((J$28+J$29)*INDEX(Assumptions!$E$96:$E$101,MATCH('Cash flow forecast'!$B80,Assumptions!$A$96:$A$101,0))))</f>
        <v>0</v>
      </c>
      <c r="K80" s="151">
        <f>((INDEX(Assumptions!$C$8:$C$46,MATCH("Total Queen",Assumptions!$A$8:$A$46,0)))*((K$28+K$29)*INDEX(Assumptions!$E$96:$E$101,MATCH('Cash flow forecast'!$B80,Assumptions!$A$96:$A$101,0))))</f>
        <v>15600</v>
      </c>
      <c r="L80" s="151">
        <f>((INDEX(Assumptions!$C$8:$C$46,MATCH("Total Queen",Assumptions!$A$8:$A$46,0)))*((L$28+L$29)*INDEX(Assumptions!$E$96:$E$101,MATCH('Cash flow forecast'!$B80,Assumptions!$A$96:$A$101,0))))</f>
        <v>0</v>
      </c>
      <c r="M80" s="151">
        <f>((INDEX(Assumptions!$C$8:$C$46,MATCH("Total Queen",Assumptions!$A$8:$A$46,0)))*((M$28+M$29)*INDEX(Assumptions!$E$96:$E$101,MATCH('Cash flow forecast'!$B80,Assumptions!$A$96:$A$101,0))))</f>
        <v>0</v>
      </c>
      <c r="N80" s="152">
        <f>((INDEX(Assumptions!$C$8:$C$46,MATCH("Total Queen",Assumptions!$A$8:$A$46,0)))*((N$28+N$29)*INDEX(Assumptions!$E$96:$E$101,MATCH('Cash flow forecast'!$B80,Assumptions!$A$96:$A$101,0))))</f>
        <v>0</v>
      </c>
      <c r="O80" s="150">
        <f>((INDEX(Assumptions!$C$8:$C$46,MATCH("Total Queen",Assumptions!$A$8:$A$46,0)))*((O$28+O$29)*INDEX(Assumptions!$E$96:$E$101,MATCH('Cash flow forecast'!$B80,Assumptions!$A$96:$A$101,0))))</f>
        <v>15600</v>
      </c>
      <c r="P80" s="151">
        <f>((INDEX(Assumptions!$C$8:$C$46,MATCH("Total Queen",Assumptions!$A$8:$A$46,0)))*((P$28+P$29)*INDEX(Assumptions!$E$96:$E$101,MATCH('Cash flow forecast'!$B80,Assumptions!$A$96:$A$101,0))))</f>
        <v>0</v>
      </c>
      <c r="Q80" s="151">
        <f>((INDEX(Assumptions!$C$8:$C$46,MATCH("Total Queen",Assumptions!$A$8:$A$46,0)))*((Q$28+Q$29)*INDEX(Assumptions!$E$96:$E$101,MATCH('Cash flow forecast'!$B80,Assumptions!$A$96:$A$101,0))))</f>
        <v>15600</v>
      </c>
      <c r="R80" s="151">
        <f>((INDEX(Assumptions!$C$8:$C$46,MATCH("Total Queen",Assumptions!$A$8:$A$46,0)))*((R$28+R$29)*INDEX(Assumptions!$E$96:$E$101,MATCH('Cash flow forecast'!$B80,Assumptions!$A$96:$A$101,0))))</f>
        <v>0</v>
      </c>
      <c r="S80" s="151">
        <f>((INDEX(Assumptions!$C$8:$C$46,MATCH("Total Queen",Assumptions!$A$8:$A$46,0)))*((S$28+S$29)*INDEX(Assumptions!$E$96:$E$101,MATCH('Cash flow forecast'!$B80,Assumptions!$A$96:$A$101,0))))</f>
        <v>0</v>
      </c>
      <c r="T80" s="151">
        <f>((INDEX(Assumptions!$C$8:$C$46,MATCH("Total Queen",Assumptions!$A$8:$A$46,0)))*((T$28+T$29)*INDEX(Assumptions!$E$96:$E$101,MATCH('Cash flow forecast'!$B80,Assumptions!$A$96:$A$101,0))))</f>
        <v>0</v>
      </c>
      <c r="U80" s="151">
        <f>((INDEX(Assumptions!$C$8:$C$46,MATCH("Total Queen",Assumptions!$A$8:$A$46,0)))*((U$28+U$29)*INDEX(Assumptions!$E$96:$E$101,MATCH('Cash flow forecast'!$B80,Assumptions!$A$96:$A$101,0))))</f>
        <v>15600</v>
      </c>
      <c r="V80" s="151">
        <f>((INDEX(Assumptions!$C$8:$C$46,MATCH("Total Queen",Assumptions!$A$8:$A$46,0)))*((V$28+V$29)*INDEX(Assumptions!$E$96:$E$101,MATCH('Cash flow forecast'!$B80,Assumptions!$A$96:$A$101,0))))</f>
        <v>0</v>
      </c>
      <c r="W80" s="151">
        <f>((INDEX(Assumptions!$C$8:$C$46,MATCH("Total Queen",Assumptions!$A$8:$A$46,0)))*((W$28+W$29)*INDEX(Assumptions!$E$96:$E$101,MATCH('Cash flow forecast'!$B80,Assumptions!$A$96:$A$101,0))))</f>
        <v>15600</v>
      </c>
      <c r="X80" s="151">
        <f>((INDEX(Assumptions!$C$8:$C$46,MATCH("Total Queen",Assumptions!$A$8:$A$46,0)))*((X$28+X$29)*INDEX(Assumptions!$E$96:$E$101,MATCH('Cash flow forecast'!$B80,Assumptions!$A$96:$A$101,0))))</f>
        <v>15600</v>
      </c>
      <c r="Y80" s="151">
        <f>((INDEX(Assumptions!$C$8:$C$46,MATCH("Total Queen",Assumptions!$A$8:$A$46,0)))*((Y$28+Y$29)*INDEX(Assumptions!$E$96:$E$101,MATCH('Cash flow forecast'!$B80,Assumptions!$A$96:$A$101,0))))</f>
        <v>0</v>
      </c>
      <c r="Z80" s="152">
        <f>((INDEX(Assumptions!$C$8:$C$46,MATCH("Total Queen",Assumptions!$A$8:$A$46,0)))*((Z$28+Z$29)*INDEX(Assumptions!$E$96:$E$101,MATCH('Cash flow forecast'!$B80,Assumptions!$A$96:$A$101,0))))</f>
        <v>0</v>
      </c>
      <c r="AA80" s="150">
        <f t="shared" si="107"/>
        <v>15600</v>
      </c>
      <c r="AB80" s="151">
        <f t="shared" si="107"/>
        <v>15600</v>
      </c>
      <c r="AC80" s="151">
        <f t="shared" si="107"/>
        <v>15600</v>
      </c>
      <c r="AD80" s="152">
        <f t="shared" si="107"/>
        <v>15600</v>
      </c>
      <c r="AE80" s="154">
        <f t="shared" si="92"/>
        <v>62400</v>
      </c>
      <c r="AF80" s="150">
        <f t="shared" si="109"/>
        <v>15600</v>
      </c>
      <c r="AG80" s="151">
        <f t="shared" si="108"/>
        <v>15600</v>
      </c>
      <c r="AH80" s="151">
        <f t="shared" si="108"/>
        <v>15600</v>
      </c>
      <c r="AI80" s="152">
        <f t="shared" si="108"/>
        <v>31200</v>
      </c>
      <c r="AJ80" s="155">
        <f t="shared" si="110"/>
        <v>78000</v>
      </c>
      <c r="AK80" s="60">
        <f t="shared" si="96"/>
        <v>0.1422360879216473</v>
      </c>
    </row>
    <row r="81" spans="2:38" ht="22.15" hidden="1" customHeight="1" outlineLevel="1" x14ac:dyDescent="0.25">
      <c r="B81" s="91" t="s">
        <v>48</v>
      </c>
      <c r="C81" s="150">
        <f>((INDEX(Assumptions!$C$8:$C$46,MATCH("Total King",Assumptions!$A$8:$A$46,0)))*((C$28+C$29)*INDEX(Assumptions!$E$96:$E$101,MATCH('Cash flow forecast'!$B81,Assumptions!$A$96:$A$101,0))))</f>
        <v>2550</v>
      </c>
      <c r="D81" s="151">
        <f>((INDEX(Assumptions!$C$8:$C$46,MATCH("Total King",Assumptions!$A$8:$A$46,0)))*((D$28+D$29)*INDEX(Assumptions!$E$96:$E$101,MATCH('Cash flow forecast'!$B81,Assumptions!$A$96:$A$101,0))))</f>
        <v>0</v>
      </c>
      <c r="E81" s="151">
        <f>((INDEX(Assumptions!$C$8:$C$46,MATCH("Total King",Assumptions!$A$8:$A$46,0)))*((E$28+E$29)*INDEX(Assumptions!$E$96:$E$101,MATCH('Cash flow forecast'!$B81,Assumptions!$A$96:$A$101,0))))</f>
        <v>2550</v>
      </c>
      <c r="F81" s="151">
        <f>((INDEX(Assumptions!$C$8:$C$46,MATCH("Total King",Assumptions!$A$8:$A$46,0)))*((F$28+F$29)*INDEX(Assumptions!$E$96:$E$101,MATCH('Cash flow forecast'!$B81,Assumptions!$A$96:$A$101,0))))</f>
        <v>0</v>
      </c>
      <c r="G81" s="151">
        <f>((INDEX(Assumptions!$C$8:$C$46,MATCH("Total King",Assumptions!$A$8:$A$46,0)))*((G$28+G$29)*INDEX(Assumptions!$E$96:$E$101,MATCH('Cash flow forecast'!$B81,Assumptions!$A$96:$A$101,0))))</f>
        <v>0</v>
      </c>
      <c r="H81" s="151">
        <f>((INDEX(Assumptions!$C$8:$C$46,MATCH("Total King",Assumptions!$A$8:$A$46,0)))*((H$28+H$29)*INDEX(Assumptions!$E$96:$E$101,MATCH('Cash flow forecast'!$B81,Assumptions!$A$96:$A$101,0))))</f>
        <v>0</v>
      </c>
      <c r="I81" s="151">
        <f>((INDEX(Assumptions!$C$8:$C$46,MATCH("Total King",Assumptions!$A$8:$A$46,0)))*((I$28+I$29)*INDEX(Assumptions!$E$96:$E$101,MATCH('Cash flow forecast'!$B81,Assumptions!$A$96:$A$101,0))))</f>
        <v>2550</v>
      </c>
      <c r="J81" s="151">
        <f>((INDEX(Assumptions!$C$8:$C$46,MATCH("Total King",Assumptions!$A$8:$A$46,0)))*((J$28+J$29)*INDEX(Assumptions!$E$96:$E$101,MATCH('Cash flow forecast'!$B81,Assumptions!$A$96:$A$101,0))))</f>
        <v>0</v>
      </c>
      <c r="K81" s="151">
        <f>((INDEX(Assumptions!$C$8:$C$46,MATCH("Total King",Assumptions!$A$8:$A$46,0)))*((K$28+K$29)*INDEX(Assumptions!$E$96:$E$101,MATCH('Cash flow forecast'!$B81,Assumptions!$A$96:$A$101,0))))</f>
        <v>2550</v>
      </c>
      <c r="L81" s="151">
        <f>((INDEX(Assumptions!$C$8:$C$46,MATCH("Total King",Assumptions!$A$8:$A$46,0)))*((L$28+L$29)*INDEX(Assumptions!$E$96:$E$101,MATCH('Cash flow forecast'!$B81,Assumptions!$A$96:$A$101,0))))</f>
        <v>0</v>
      </c>
      <c r="M81" s="151">
        <f>((INDEX(Assumptions!$C$8:$C$46,MATCH("Total King",Assumptions!$A$8:$A$46,0)))*((M$28+M$29)*INDEX(Assumptions!$E$96:$E$101,MATCH('Cash flow forecast'!$B81,Assumptions!$A$96:$A$101,0))))</f>
        <v>0</v>
      </c>
      <c r="N81" s="152">
        <f>((INDEX(Assumptions!$C$8:$C$46,MATCH("Total King",Assumptions!$A$8:$A$46,0)))*((N$28+N$29)*INDEX(Assumptions!$E$96:$E$101,MATCH('Cash flow forecast'!$B81,Assumptions!$A$96:$A$101,0))))</f>
        <v>0</v>
      </c>
      <c r="O81" s="150">
        <f>((INDEX(Assumptions!$C$8:$C$46,MATCH("Total King",Assumptions!$A$8:$A$46,0)))*((O$28+O$29)*INDEX(Assumptions!$E$96:$E$101,MATCH('Cash flow forecast'!$B81,Assumptions!$A$96:$A$101,0))))</f>
        <v>2550</v>
      </c>
      <c r="P81" s="151">
        <f>((INDEX(Assumptions!$C$8:$C$46,MATCH("Total King",Assumptions!$A$8:$A$46,0)))*((P$28+P$29)*INDEX(Assumptions!$E$96:$E$101,MATCH('Cash flow forecast'!$B81,Assumptions!$A$96:$A$101,0))))</f>
        <v>0</v>
      </c>
      <c r="Q81" s="151">
        <f>((INDEX(Assumptions!$C$8:$C$46,MATCH("Total King",Assumptions!$A$8:$A$46,0)))*((Q$28+Q$29)*INDEX(Assumptions!$E$96:$E$101,MATCH('Cash flow forecast'!$B81,Assumptions!$A$96:$A$101,0))))</f>
        <v>2550</v>
      </c>
      <c r="R81" s="151">
        <f>((INDEX(Assumptions!$C$8:$C$46,MATCH("Total King",Assumptions!$A$8:$A$46,0)))*((R$28+R$29)*INDEX(Assumptions!$E$96:$E$101,MATCH('Cash flow forecast'!$B81,Assumptions!$A$96:$A$101,0))))</f>
        <v>0</v>
      </c>
      <c r="S81" s="151">
        <f>((INDEX(Assumptions!$C$8:$C$46,MATCH("Total King",Assumptions!$A$8:$A$46,0)))*((S$28+S$29)*INDEX(Assumptions!$E$96:$E$101,MATCH('Cash flow forecast'!$B81,Assumptions!$A$96:$A$101,0))))</f>
        <v>0</v>
      </c>
      <c r="T81" s="151">
        <f>((INDEX(Assumptions!$C$8:$C$46,MATCH("Total King",Assumptions!$A$8:$A$46,0)))*((T$28+T$29)*INDEX(Assumptions!$E$96:$E$101,MATCH('Cash flow forecast'!$B81,Assumptions!$A$96:$A$101,0))))</f>
        <v>0</v>
      </c>
      <c r="U81" s="151">
        <f>((INDEX(Assumptions!$C$8:$C$46,MATCH("Total King",Assumptions!$A$8:$A$46,0)))*((U$28+U$29)*INDEX(Assumptions!$E$96:$E$101,MATCH('Cash flow forecast'!$B81,Assumptions!$A$96:$A$101,0))))</f>
        <v>2550</v>
      </c>
      <c r="V81" s="151">
        <f>((INDEX(Assumptions!$C$8:$C$46,MATCH("Total King",Assumptions!$A$8:$A$46,0)))*((V$28+V$29)*INDEX(Assumptions!$E$96:$E$101,MATCH('Cash flow forecast'!$B81,Assumptions!$A$96:$A$101,0))))</f>
        <v>0</v>
      </c>
      <c r="W81" s="151">
        <f>((INDEX(Assumptions!$C$8:$C$46,MATCH("Total King",Assumptions!$A$8:$A$46,0)))*((W$28+W$29)*INDEX(Assumptions!$E$96:$E$101,MATCH('Cash flow forecast'!$B81,Assumptions!$A$96:$A$101,0))))</f>
        <v>2550</v>
      </c>
      <c r="X81" s="151">
        <f>((INDEX(Assumptions!$C$8:$C$46,MATCH("Total King",Assumptions!$A$8:$A$46,0)))*((X$28+X$29)*INDEX(Assumptions!$E$96:$E$101,MATCH('Cash flow forecast'!$B81,Assumptions!$A$96:$A$101,0))))</f>
        <v>2550</v>
      </c>
      <c r="Y81" s="151">
        <f>((INDEX(Assumptions!$C$8:$C$46,MATCH("Total King",Assumptions!$A$8:$A$46,0)))*((Y$28+Y$29)*INDEX(Assumptions!$E$96:$E$101,MATCH('Cash flow forecast'!$B81,Assumptions!$A$96:$A$101,0))))</f>
        <v>0</v>
      </c>
      <c r="Z81" s="152">
        <f>((INDEX(Assumptions!$C$8:$C$46,MATCH("Total King",Assumptions!$A$8:$A$46,0)))*((Z$28+Z$29)*INDEX(Assumptions!$E$96:$E$101,MATCH('Cash flow forecast'!$B81,Assumptions!$A$96:$A$101,0))))</f>
        <v>0</v>
      </c>
      <c r="AA81" s="150">
        <f t="shared" si="107"/>
        <v>2550</v>
      </c>
      <c r="AB81" s="151">
        <f t="shared" si="107"/>
        <v>2550</v>
      </c>
      <c r="AC81" s="151">
        <f t="shared" si="107"/>
        <v>2550</v>
      </c>
      <c r="AD81" s="152">
        <f t="shared" si="107"/>
        <v>2550</v>
      </c>
      <c r="AE81" s="154">
        <f t="shared" si="92"/>
        <v>10200</v>
      </c>
      <c r="AF81" s="150">
        <f t="shared" si="109"/>
        <v>2550</v>
      </c>
      <c r="AG81" s="151">
        <f t="shared" si="108"/>
        <v>2550</v>
      </c>
      <c r="AH81" s="151">
        <f t="shared" si="108"/>
        <v>2550</v>
      </c>
      <c r="AI81" s="152">
        <f t="shared" si="108"/>
        <v>5100</v>
      </c>
      <c r="AJ81" s="155">
        <f t="shared" si="110"/>
        <v>12750</v>
      </c>
      <c r="AK81" s="60">
        <f t="shared" si="96"/>
        <v>2.3250129756423116E-2</v>
      </c>
    </row>
    <row r="82" spans="2:38" ht="22.15" hidden="1" customHeight="1" outlineLevel="1" x14ac:dyDescent="0.25">
      <c r="B82" s="91" t="s">
        <v>49</v>
      </c>
      <c r="C82" s="150">
        <f>((INDEX(Assumptions!$C$8:$C$46,MATCH("Total Universal",Assumptions!$A$8:$A$46,0)))*((C$28+C$29)*INDEX(Assumptions!$E$96:$E$101,MATCH('Cash flow forecast'!$B82,Assumptions!$A$96:$A$101,0))))</f>
        <v>0</v>
      </c>
      <c r="D82" s="151">
        <f>((INDEX(Assumptions!$C$8:$C$46,MATCH("Total Universal",Assumptions!$A$8:$A$46,0)))*((D$28+D$29)*INDEX(Assumptions!$E$96:$E$101,MATCH('Cash flow forecast'!$B82,Assumptions!$A$96:$A$101,0))))</f>
        <v>0</v>
      </c>
      <c r="E82" s="151">
        <f>((INDEX(Assumptions!$C$8:$C$46,MATCH("Total Universal",Assumptions!$A$8:$A$46,0)))*((E$28+E$29)*INDEX(Assumptions!$E$96:$E$101,MATCH('Cash flow forecast'!$B82,Assumptions!$A$96:$A$101,0))))</f>
        <v>0</v>
      </c>
      <c r="F82" s="151">
        <f>((INDEX(Assumptions!$C$8:$C$46,MATCH("Total Universal",Assumptions!$A$8:$A$46,0)))*((F$28+F$29)*INDEX(Assumptions!$E$96:$E$101,MATCH('Cash flow forecast'!$B82,Assumptions!$A$96:$A$101,0))))</f>
        <v>0</v>
      </c>
      <c r="G82" s="151">
        <f>((INDEX(Assumptions!$C$8:$C$46,MATCH("Total Universal",Assumptions!$A$8:$A$46,0)))*((G$28+G$29)*INDEX(Assumptions!$E$96:$E$101,MATCH('Cash flow forecast'!$B82,Assumptions!$A$96:$A$101,0))))</f>
        <v>0</v>
      </c>
      <c r="H82" s="151">
        <f>((INDEX(Assumptions!$C$8:$C$46,MATCH("Total Universal",Assumptions!$A$8:$A$46,0)))*((H$28+H$29)*INDEX(Assumptions!$E$96:$E$101,MATCH('Cash flow forecast'!$B82,Assumptions!$A$96:$A$101,0))))</f>
        <v>0</v>
      </c>
      <c r="I82" s="151">
        <f>((INDEX(Assumptions!$C$8:$C$46,MATCH("Total Universal",Assumptions!$A$8:$A$46,0)))*((I$28+I$29)*INDEX(Assumptions!$E$96:$E$101,MATCH('Cash flow forecast'!$B82,Assumptions!$A$96:$A$101,0))))</f>
        <v>0</v>
      </c>
      <c r="J82" s="151">
        <f>((INDEX(Assumptions!$C$8:$C$46,MATCH("Total Universal",Assumptions!$A$8:$A$46,0)))*((J$28+J$29)*INDEX(Assumptions!$E$96:$E$101,MATCH('Cash flow forecast'!$B82,Assumptions!$A$96:$A$101,0))))</f>
        <v>0</v>
      </c>
      <c r="K82" s="151">
        <f>((INDEX(Assumptions!$C$8:$C$46,MATCH("Total Universal",Assumptions!$A$8:$A$46,0)))*((K$28+K$29)*INDEX(Assumptions!$E$96:$E$101,MATCH('Cash flow forecast'!$B82,Assumptions!$A$96:$A$101,0))))</f>
        <v>0</v>
      </c>
      <c r="L82" s="151">
        <f>((INDEX(Assumptions!$C$8:$C$46,MATCH("Total Universal",Assumptions!$A$8:$A$46,0)))*((L$28+L$29)*INDEX(Assumptions!$E$96:$E$101,MATCH('Cash flow forecast'!$B82,Assumptions!$A$96:$A$101,0))))</f>
        <v>0</v>
      </c>
      <c r="M82" s="151">
        <f>((INDEX(Assumptions!$C$8:$C$46,MATCH("Total Universal",Assumptions!$A$8:$A$46,0)))*((M$28+M$29)*INDEX(Assumptions!$E$96:$E$101,MATCH('Cash flow forecast'!$B82,Assumptions!$A$96:$A$101,0))))</f>
        <v>0</v>
      </c>
      <c r="N82" s="152">
        <f>((INDEX(Assumptions!$C$8:$C$46,MATCH("Total Universal",Assumptions!$A$8:$A$46,0)))*((N$28+N$29)*INDEX(Assumptions!$E$96:$E$101,MATCH('Cash flow forecast'!$B82,Assumptions!$A$96:$A$101,0))))</f>
        <v>0</v>
      </c>
      <c r="O82" s="150">
        <f>((INDEX(Assumptions!$C$8:$C$46,MATCH("Total Universal",Assumptions!$A$8:$A$46,0)))*((O$28+O$29)*INDEX(Assumptions!$E$96:$E$101,MATCH('Cash flow forecast'!$B82,Assumptions!$A$96:$A$101,0))))</f>
        <v>0</v>
      </c>
      <c r="P82" s="151">
        <f>((INDEX(Assumptions!$C$8:$C$46,MATCH("Total Universal",Assumptions!$A$8:$A$46,0)))*((P$28+P$29)*INDEX(Assumptions!$E$96:$E$101,MATCH('Cash flow forecast'!$B82,Assumptions!$A$96:$A$101,0))))</f>
        <v>0</v>
      </c>
      <c r="Q82" s="151">
        <f>((INDEX(Assumptions!$C$8:$C$46,MATCH("Total Universal",Assumptions!$A$8:$A$46,0)))*((Q$28+Q$29)*INDEX(Assumptions!$E$96:$E$101,MATCH('Cash flow forecast'!$B82,Assumptions!$A$96:$A$101,0))))</f>
        <v>0</v>
      </c>
      <c r="R82" s="151">
        <f>((INDEX(Assumptions!$C$8:$C$46,MATCH("Total Universal",Assumptions!$A$8:$A$46,0)))*((R$28+R$29)*INDEX(Assumptions!$E$96:$E$101,MATCH('Cash flow forecast'!$B82,Assumptions!$A$96:$A$101,0))))</f>
        <v>0</v>
      </c>
      <c r="S82" s="151">
        <f>((INDEX(Assumptions!$C$8:$C$46,MATCH("Total Universal",Assumptions!$A$8:$A$46,0)))*((S$28+S$29)*INDEX(Assumptions!$E$96:$E$101,MATCH('Cash flow forecast'!$B82,Assumptions!$A$96:$A$101,0))))</f>
        <v>0</v>
      </c>
      <c r="T82" s="151">
        <f>((INDEX(Assumptions!$C$8:$C$46,MATCH("Total Universal",Assumptions!$A$8:$A$46,0)))*((T$28+T$29)*INDEX(Assumptions!$E$96:$E$101,MATCH('Cash flow forecast'!$B82,Assumptions!$A$96:$A$101,0))))</f>
        <v>0</v>
      </c>
      <c r="U82" s="151">
        <f>((INDEX(Assumptions!$C$8:$C$46,MATCH("Total Universal",Assumptions!$A$8:$A$46,0)))*((U$28+U$29)*INDEX(Assumptions!$E$96:$E$101,MATCH('Cash flow forecast'!$B82,Assumptions!$A$96:$A$101,0))))</f>
        <v>0</v>
      </c>
      <c r="V82" s="151">
        <f>((INDEX(Assumptions!$C$8:$C$46,MATCH("Total Universal",Assumptions!$A$8:$A$46,0)))*((V$28+V$29)*INDEX(Assumptions!$E$96:$E$101,MATCH('Cash flow forecast'!$B82,Assumptions!$A$96:$A$101,0))))</f>
        <v>0</v>
      </c>
      <c r="W82" s="151">
        <f>((INDEX(Assumptions!$C$8:$C$46,MATCH("Total Universal",Assumptions!$A$8:$A$46,0)))*((W$28+W$29)*INDEX(Assumptions!$E$96:$E$101,MATCH('Cash flow forecast'!$B82,Assumptions!$A$96:$A$101,0))))</f>
        <v>0</v>
      </c>
      <c r="X82" s="151">
        <f>((INDEX(Assumptions!$C$8:$C$46,MATCH("Total Universal",Assumptions!$A$8:$A$46,0)))*((X$28+X$29)*INDEX(Assumptions!$E$96:$E$101,MATCH('Cash flow forecast'!$B82,Assumptions!$A$96:$A$101,0))))</f>
        <v>0</v>
      </c>
      <c r="Y82" s="151">
        <f>((INDEX(Assumptions!$C$8:$C$46,MATCH("Total Universal",Assumptions!$A$8:$A$46,0)))*((Y$28+Y$29)*INDEX(Assumptions!$E$96:$E$101,MATCH('Cash flow forecast'!$B82,Assumptions!$A$96:$A$101,0))))</f>
        <v>0</v>
      </c>
      <c r="Z82" s="152">
        <f>((INDEX(Assumptions!$C$8:$C$46,MATCH("Total Universal",Assumptions!$A$8:$A$46,0)))*((Z$28+Z$29)*INDEX(Assumptions!$E$96:$E$101,MATCH('Cash flow forecast'!$B82,Assumptions!$A$96:$A$101,0))))</f>
        <v>0</v>
      </c>
      <c r="AA82" s="150">
        <f t="shared" si="107"/>
        <v>0</v>
      </c>
      <c r="AB82" s="151">
        <f t="shared" si="107"/>
        <v>0</v>
      </c>
      <c r="AC82" s="151">
        <f t="shared" si="107"/>
        <v>0</v>
      </c>
      <c r="AD82" s="152">
        <f t="shared" si="107"/>
        <v>0</v>
      </c>
      <c r="AE82" s="154">
        <f t="shared" si="92"/>
        <v>0</v>
      </c>
      <c r="AF82" s="150">
        <f t="shared" si="109"/>
        <v>0</v>
      </c>
      <c r="AG82" s="151">
        <f t="shared" si="108"/>
        <v>0</v>
      </c>
      <c r="AH82" s="151">
        <f t="shared" si="108"/>
        <v>0</v>
      </c>
      <c r="AI82" s="152">
        <f t="shared" si="108"/>
        <v>0</v>
      </c>
      <c r="AJ82" s="155">
        <f t="shared" si="110"/>
        <v>0</v>
      </c>
      <c r="AK82" s="60">
        <f t="shared" si="96"/>
        <v>0</v>
      </c>
    </row>
    <row r="83" spans="2:38" ht="22.15" hidden="1" customHeight="1" outlineLevel="1" x14ac:dyDescent="0.25">
      <c r="B83" s="96" t="s">
        <v>0</v>
      </c>
      <c r="C83" s="156">
        <f>SUM(C78:C82)</f>
        <v>19520.25</v>
      </c>
      <c r="D83" s="157">
        <f t="shared" ref="D83:Z83" si="111">SUM(D78:D82)</f>
        <v>0</v>
      </c>
      <c r="E83" s="157">
        <f t="shared" si="111"/>
        <v>19520.25</v>
      </c>
      <c r="F83" s="157">
        <f t="shared" si="111"/>
        <v>0</v>
      </c>
      <c r="G83" s="157">
        <f t="shared" si="111"/>
        <v>0</v>
      </c>
      <c r="H83" s="157">
        <f t="shared" si="111"/>
        <v>0</v>
      </c>
      <c r="I83" s="157">
        <f t="shared" si="111"/>
        <v>19520.25</v>
      </c>
      <c r="J83" s="157">
        <f t="shared" si="111"/>
        <v>0</v>
      </c>
      <c r="K83" s="157">
        <f t="shared" si="111"/>
        <v>19520.25</v>
      </c>
      <c r="L83" s="157">
        <f t="shared" si="111"/>
        <v>0</v>
      </c>
      <c r="M83" s="157">
        <f t="shared" si="111"/>
        <v>0</v>
      </c>
      <c r="N83" s="158">
        <f t="shared" si="111"/>
        <v>0</v>
      </c>
      <c r="O83" s="156">
        <f t="shared" si="111"/>
        <v>19520.25</v>
      </c>
      <c r="P83" s="157">
        <f t="shared" si="111"/>
        <v>0</v>
      </c>
      <c r="Q83" s="157">
        <f t="shared" si="111"/>
        <v>19520.25</v>
      </c>
      <c r="R83" s="157">
        <f t="shared" si="111"/>
        <v>0</v>
      </c>
      <c r="S83" s="157">
        <f t="shared" si="111"/>
        <v>0</v>
      </c>
      <c r="T83" s="157">
        <f t="shared" si="111"/>
        <v>0</v>
      </c>
      <c r="U83" s="157">
        <f t="shared" si="111"/>
        <v>19520.25</v>
      </c>
      <c r="V83" s="157">
        <f t="shared" si="111"/>
        <v>0</v>
      </c>
      <c r="W83" s="157">
        <f t="shared" si="111"/>
        <v>19520.25</v>
      </c>
      <c r="X83" s="157">
        <f t="shared" si="111"/>
        <v>19520.25</v>
      </c>
      <c r="Y83" s="157">
        <f t="shared" si="111"/>
        <v>0</v>
      </c>
      <c r="Z83" s="158">
        <f t="shared" si="111"/>
        <v>0</v>
      </c>
      <c r="AA83" s="156">
        <f>SUM(AA78:AA82)</f>
        <v>19520.25</v>
      </c>
      <c r="AB83" s="157">
        <f t="shared" ref="AB83:AD83" si="112">SUM(AB78:AB82)</f>
        <v>19520.25</v>
      </c>
      <c r="AC83" s="157">
        <f t="shared" si="112"/>
        <v>19520.25</v>
      </c>
      <c r="AD83" s="158">
        <f t="shared" si="112"/>
        <v>19520.25</v>
      </c>
      <c r="AE83" s="159">
        <f t="shared" si="92"/>
        <v>78081</v>
      </c>
      <c r="AF83" s="156">
        <f>SUM(AF78:AF82)</f>
        <v>19520.25</v>
      </c>
      <c r="AG83" s="157">
        <f t="shared" ref="AG83:AI83" si="113">SUM(AG78:AG82)</f>
        <v>19520.25</v>
      </c>
      <c r="AH83" s="157">
        <f t="shared" si="113"/>
        <v>19520.25</v>
      </c>
      <c r="AI83" s="158">
        <f t="shared" si="113"/>
        <v>39040.5</v>
      </c>
      <c r="AJ83" s="156">
        <f t="shared" si="110"/>
        <v>97601.25</v>
      </c>
      <c r="AK83" s="61">
        <f t="shared" si="96"/>
        <v>0.17797974328541893</v>
      </c>
    </row>
    <row r="84" spans="2:38" ht="22.15" hidden="1" customHeight="1" outlineLevel="1" x14ac:dyDescent="0.25">
      <c r="B84" s="1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241"/>
    </row>
    <row r="85" spans="2:38" ht="22.15" customHeight="1" collapsed="1" thickBot="1" x14ac:dyDescent="0.3">
      <c r="B85" s="96" t="s">
        <v>97</v>
      </c>
      <c r="C85" s="167">
        <f t="shared" ref="C85:Z85" si="114">C69+C76+C83</f>
        <v>136641.75</v>
      </c>
      <c r="D85" s="168">
        <f t="shared" si="114"/>
        <v>0</v>
      </c>
      <c r="E85" s="168">
        <f t="shared" si="114"/>
        <v>78081</v>
      </c>
      <c r="F85" s="168">
        <f t="shared" si="114"/>
        <v>0</v>
      </c>
      <c r="G85" s="168">
        <f t="shared" si="114"/>
        <v>0</v>
      </c>
      <c r="H85" s="168">
        <f t="shared" si="114"/>
        <v>0</v>
      </c>
      <c r="I85" s="168">
        <f t="shared" si="114"/>
        <v>136641.75</v>
      </c>
      <c r="J85" s="168">
        <f t="shared" si="114"/>
        <v>0</v>
      </c>
      <c r="K85" s="168">
        <f t="shared" si="114"/>
        <v>78081</v>
      </c>
      <c r="L85" s="168">
        <f t="shared" si="114"/>
        <v>0</v>
      </c>
      <c r="M85" s="168">
        <f t="shared" si="114"/>
        <v>0</v>
      </c>
      <c r="N85" s="169">
        <f t="shared" si="114"/>
        <v>0</v>
      </c>
      <c r="O85" s="167">
        <f t="shared" si="114"/>
        <v>136641.75</v>
      </c>
      <c r="P85" s="168">
        <f t="shared" si="114"/>
        <v>0</v>
      </c>
      <c r="Q85" s="168">
        <f t="shared" si="114"/>
        <v>78081</v>
      </c>
      <c r="R85" s="168">
        <f t="shared" si="114"/>
        <v>0</v>
      </c>
      <c r="S85" s="168">
        <f t="shared" si="114"/>
        <v>0</v>
      </c>
      <c r="T85" s="168">
        <f t="shared" si="114"/>
        <v>0</v>
      </c>
      <c r="U85" s="168">
        <f t="shared" si="114"/>
        <v>136641.75</v>
      </c>
      <c r="V85" s="168">
        <f t="shared" si="114"/>
        <v>0</v>
      </c>
      <c r="W85" s="168">
        <f t="shared" si="114"/>
        <v>78081</v>
      </c>
      <c r="X85" s="168">
        <f t="shared" si="114"/>
        <v>117121.5</v>
      </c>
      <c r="Y85" s="168">
        <f t="shared" si="114"/>
        <v>0</v>
      </c>
      <c r="Z85" s="169">
        <f t="shared" si="114"/>
        <v>0</v>
      </c>
      <c r="AA85" s="167">
        <f>AA69+AA76+AA83</f>
        <v>136641.75</v>
      </c>
      <c r="AB85" s="168">
        <f>AB69+AB76+AB83</f>
        <v>78081</v>
      </c>
      <c r="AC85" s="168">
        <f>AC69+AC76+AC83</f>
        <v>136641.75</v>
      </c>
      <c r="AD85" s="169">
        <f>AD69+AD76+AD83</f>
        <v>78081</v>
      </c>
      <c r="AE85" s="170">
        <f>AE69+AE76+AE83</f>
        <v>429445.5</v>
      </c>
      <c r="AF85" s="167">
        <f t="shared" ref="AF85:AJ85" si="115">AF69+AF76+AF83</f>
        <v>136641.75</v>
      </c>
      <c r="AG85" s="168">
        <f t="shared" si="115"/>
        <v>78081</v>
      </c>
      <c r="AH85" s="168">
        <f t="shared" si="115"/>
        <v>136641.75</v>
      </c>
      <c r="AI85" s="169">
        <f t="shared" si="115"/>
        <v>195202.5</v>
      </c>
      <c r="AJ85" s="172">
        <f t="shared" si="115"/>
        <v>546567</v>
      </c>
      <c r="AK85" s="61">
        <f t="shared" si="96"/>
        <v>0.9887763515856608</v>
      </c>
    </row>
    <row r="86" spans="2:38" ht="22.15" customHeight="1" thickTop="1" x14ac:dyDescent="0.25">
      <c r="B86" s="89" t="s">
        <v>79</v>
      </c>
      <c r="C86" s="65"/>
      <c r="D86" s="65"/>
      <c r="E86" s="65"/>
      <c r="F86" s="68"/>
      <c r="G86" s="65"/>
      <c r="H86" s="66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241"/>
    </row>
    <row r="87" spans="2:38" ht="22.15" hidden="1" customHeight="1" outlineLevel="1" x14ac:dyDescent="0.25">
      <c r="B87" s="91" t="s">
        <v>45</v>
      </c>
      <c r="C87" s="144">
        <f>IF(C$5&lt;Assumptions!$B$106,0,INDEX(Assumptions!$B$108:$B$112,MATCH('Cash flow forecast'!$B87,Assumptions!$A$108:$A$112,0))*(INDEX(Assumptions!$C$4:$C$46,MATCH("Total Twin",Assumptions!$A$4:$A$46,0))))</f>
        <v>0</v>
      </c>
      <c r="D87" s="145">
        <f>IF(D$5&lt;Assumptions!$B$106,0,IF('Cash flow forecast'!D$5=Assumptions!$B$106,INDEX(Assumptions!$B$108:$B$112,MATCH('Cash flow forecast'!$B87,Assumptions!$A$108:$A$112,0))*(INDEX(Assumptions!$C$4:$C$46,MATCH("Total Twin",Assumptions!$A$4:$A$46,0))),(C87*(1+INDEX(Assumptions!$C$108:$C$112,MATCH('Cash flow forecast'!$B87,Assumptions!$A$108:$A$112,0))/12))*(1+INDEX(Assumptions!$D$108:$D$112,MATCH('Cash flow forecast'!$B87,Assumptions!$A$108:$A$112,0))/12)))</f>
        <v>0</v>
      </c>
      <c r="E87" s="145">
        <f>IF(E$5&lt;Assumptions!$B$106,0,IF('Cash flow forecast'!E$5=Assumptions!$B$106,INDEX(Assumptions!$B$108:$B$112,MATCH('Cash flow forecast'!$B87,Assumptions!$A$108:$A$112,0))*(INDEX(Assumptions!$C$4:$C$46,MATCH("Total Twin",Assumptions!$A$4:$A$46,0))),(D87*(1+INDEX(Assumptions!$C$108:$C$112,MATCH('Cash flow forecast'!$B87,Assumptions!$A$108:$A$112,0))/12))*(1+INDEX(Assumptions!$D$108:$D$112,MATCH('Cash flow forecast'!$B87,Assumptions!$A$108:$A$112,0))/12)))</f>
        <v>0</v>
      </c>
      <c r="F87" s="145">
        <f>IF(F$5&lt;Assumptions!$B$106,0,IF('Cash flow forecast'!F$5=Assumptions!$B$106,INDEX(Assumptions!$B$108:$B$112,MATCH('Cash flow forecast'!$B87,Assumptions!$A$108:$A$112,0))*(INDEX(Assumptions!$C$4:$C$46,MATCH("Total Twin",Assumptions!$A$4:$A$46,0))),(E87*(1+INDEX(Assumptions!$C$108:$C$112,MATCH('Cash flow forecast'!$B87,Assumptions!$A$108:$A$112,0))/12))*(1+INDEX(Assumptions!$D$108:$D$112,MATCH('Cash flow forecast'!$B87,Assumptions!$A$108:$A$112,0))/12)))</f>
        <v>91.35</v>
      </c>
      <c r="G87" s="145">
        <f>IF(G$5&lt;Assumptions!$B$106,0,IF('Cash flow forecast'!G$5=Assumptions!$B$106,INDEX(Assumptions!$B$108:$B$112,MATCH('Cash flow forecast'!$B87,Assumptions!$A$108:$A$112,0))*(INDEX(Assumptions!$C$4:$C$46,MATCH("Total Twin",Assumptions!$A$4:$A$46,0))),(F87*(1+INDEX(Assumptions!$C$108:$C$112,MATCH('Cash flow forecast'!$B87,Assumptions!$A$108:$A$112,0))/12))*(1+INDEX(Assumptions!$D$108:$D$112,MATCH('Cash flow forecast'!$B87,Assumptions!$A$108:$A$112,0))/12)))</f>
        <v>91.957731249999995</v>
      </c>
      <c r="H87" s="145">
        <f>IF(H$5&lt;Assumptions!$B$106,0,IF('Cash flow forecast'!H$5=Assumptions!$B$106,INDEX(Assumptions!$B$108:$B$112,MATCH('Cash flow forecast'!$B87,Assumptions!$A$108:$A$112,0))*(INDEX(Assumptions!$C$4:$C$46,MATCH("Total Twin",Assumptions!$A$4:$A$46,0))),(G87*(1+INDEX(Assumptions!$C$108:$C$112,MATCH('Cash flow forecast'!$B87,Assumptions!$A$108:$A$112,0))/12))*(1+INDEX(Assumptions!$D$108:$D$112,MATCH('Cash flow forecast'!$B87,Assumptions!$A$108:$A$112,0))/12)))</f>
        <v>92.569505600954855</v>
      </c>
      <c r="I87" s="145">
        <f>IF(I$5&lt;Assumptions!$B$106,0,IF('Cash flow forecast'!I$5=Assumptions!$B$106,INDEX(Assumptions!$B$108:$B$112,MATCH('Cash flow forecast'!$B87,Assumptions!$A$108:$A$112,0))*(INDEX(Assumptions!$C$4:$C$46,MATCH("Total Twin",Assumptions!$A$4:$A$46,0))),(H87*(1+INDEX(Assumptions!$C$108:$C$112,MATCH('Cash flow forecast'!$B87,Assumptions!$A$108:$A$112,0))/12))*(1+INDEX(Assumptions!$D$108:$D$112,MATCH('Cash flow forecast'!$B87,Assumptions!$A$108:$A$112,0))/12)))</f>
        <v>93.185349950716756</v>
      </c>
      <c r="J87" s="145">
        <f>IF(J$5&lt;Assumptions!$B$106,0,IF('Cash flow forecast'!J$5=Assumptions!$B$106,INDEX(Assumptions!$B$108:$B$112,MATCH('Cash flow forecast'!$B87,Assumptions!$A$108:$A$112,0))*(INDEX(Assumptions!$C$4:$C$46,MATCH("Total Twin",Assumptions!$A$4:$A$46,0))),(I87*(1+INDEX(Assumptions!$C$108:$C$112,MATCH('Cash flow forecast'!$B87,Assumptions!$A$108:$A$112,0))/12))*(1+INDEX(Assumptions!$D$108:$D$112,MATCH('Cash flow forecast'!$B87,Assumptions!$A$108:$A$112,0))/12)))</f>
        <v>93.805291376083332</v>
      </c>
      <c r="K87" s="145">
        <f>IF(K$5&lt;Assumptions!$B$106,0,IF('Cash flow forecast'!K$5=Assumptions!$B$106,INDEX(Assumptions!$B$108:$B$112,MATCH('Cash flow forecast'!$B87,Assumptions!$A$108:$A$112,0))*(INDEX(Assumptions!$C$4:$C$46,MATCH("Total Twin",Assumptions!$A$4:$A$46,0))),(J87*(1+INDEX(Assumptions!$C$108:$C$112,MATCH('Cash flow forecast'!$B87,Assumptions!$A$108:$A$112,0))/12))*(1+INDEX(Assumptions!$D$108:$D$112,MATCH('Cash flow forecast'!$B87,Assumptions!$A$108:$A$112,0))/12)))</f>
        <v>94.429357133988091</v>
      </c>
      <c r="L87" s="145">
        <f>IF(L$5&lt;Assumptions!$B$106,0,IF('Cash flow forecast'!L$5=Assumptions!$B$106,INDEX(Assumptions!$B$108:$B$112,MATCH('Cash flow forecast'!$B87,Assumptions!$A$108:$A$112,0))*(INDEX(Assumptions!$C$4:$C$46,MATCH("Total Twin",Assumptions!$A$4:$A$46,0))),(K87*(1+INDEX(Assumptions!$C$108:$C$112,MATCH('Cash flow forecast'!$B87,Assumptions!$A$108:$A$112,0))/12))*(1+INDEX(Assumptions!$D$108:$D$112,MATCH('Cash flow forecast'!$B87,Assumptions!$A$108:$A$112,0))/12)))</f>
        <v>95.057574662698912</v>
      </c>
      <c r="M87" s="145">
        <f>IF(M$5&lt;Assumptions!$B$106,0,IF('Cash flow forecast'!M$5=Assumptions!$B$106,INDEX(Assumptions!$B$108:$B$112,MATCH('Cash flow forecast'!$B87,Assumptions!$A$108:$A$112,0))*(INDEX(Assumptions!$C$4:$C$46,MATCH("Total Twin",Assumptions!$A$4:$A$46,0))),(L87*(1+INDEX(Assumptions!$C$108:$C$112,MATCH('Cash flow forecast'!$B87,Assumptions!$A$108:$A$112,0))/12))*(1+INDEX(Assumptions!$D$108:$D$112,MATCH('Cash flow forecast'!$B87,Assumptions!$A$108:$A$112,0))/12)))</f>
        <v>95.689971583024359</v>
      </c>
      <c r="N87" s="146">
        <f>IF(N$5&lt;Assumptions!$B$106,0,IF('Cash flow forecast'!N$5=Assumptions!$B$106,INDEX(Assumptions!$B$108:$B$112,MATCH('Cash flow forecast'!$B87,Assumptions!$A$108:$A$112,0))*(INDEX(Assumptions!$C$4:$C$46,MATCH("Total Twin",Assumptions!$A$4:$A$46,0))),(M87*(1+INDEX(Assumptions!$C$108:$C$112,MATCH('Cash flow forecast'!$B87,Assumptions!$A$108:$A$112,0))/12))*(1+INDEX(Assumptions!$D$108:$D$112,MATCH('Cash flow forecast'!$B87,Assumptions!$A$108:$A$112,0))/12)))</f>
        <v>96.326575699528078</v>
      </c>
      <c r="O87" s="144">
        <f>IF(O$5&lt;Assumptions!$B$106,0,IF('Cash flow forecast'!O$5=Assumptions!$B$106,INDEX(Assumptions!$B$108:$B$112,MATCH('Cash flow forecast'!$B87,Assumptions!$A$108:$A$112,0))*(INDEX(Assumptions!$C$4:$C$46,MATCH("Total Twin",Assumptions!$A$4:$A$46,0))),(N87*(1+INDEX(Assumptions!$C$108:$C$112,MATCH('Cash flow forecast'!$B87,Assumptions!$A$108:$A$112,0))/12))*(1+INDEX(Assumptions!$D$108:$D$112,MATCH('Cash flow forecast'!$B87,Assumptions!$A$108:$A$112,0))/12)))</f>
        <v>96.96741500175132</v>
      </c>
      <c r="P87" s="145">
        <f>IF(P$5&lt;Assumptions!$B$106,0,IF('Cash flow forecast'!P$5=Assumptions!$B$106,INDEX(Assumptions!$B$108:$B$112,MATCH('Cash flow forecast'!$B87,Assumptions!$A$108:$A$112,0))*(INDEX(Assumptions!$C$4:$C$46,MATCH("Total Twin",Assumptions!$A$4:$A$46,0))),(O87*(1+INDEX(Assumptions!$C$108:$C$112,MATCH('Cash flow forecast'!$B87,Assumptions!$A$108:$A$112,0))/12))*(1+INDEX(Assumptions!$D$108:$D$112,MATCH('Cash flow forecast'!$B87,Assumptions!$A$108:$A$112,0))/12)))</f>
        <v>97.612517665443519</v>
      </c>
      <c r="Q87" s="145">
        <f>IF(Q$5&lt;Assumptions!$B$106,0,IF('Cash flow forecast'!Q$5=Assumptions!$B$106,INDEX(Assumptions!$B$108:$B$112,MATCH('Cash flow forecast'!$B87,Assumptions!$A$108:$A$112,0))*(INDEX(Assumptions!$C$4:$C$46,MATCH("Total Twin",Assumptions!$A$4:$A$46,0))),(P87*(1+INDEX(Assumptions!$C$108:$C$112,MATCH('Cash flow forecast'!$B87,Assumptions!$A$108:$A$112,0))/12))*(1+INDEX(Assumptions!$D$108:$D$112,MATCH('Cash flow forecast'!$B87,Assumptions!$A$108:$A$112,0))/12)))</f>
        <v>98.261912053801112</v>
      </c>
      <c r="R87" s="145">
        <f>IF(R$5&lt;Assumptions!$B$106,0,IF('Cash flow forecast'!R$5=Assumptions!$B$106,INDEX(Assumptions!$B$108:$B$112,MATCH('Cash flow forecast'!$B87,Assumptions!$A$108:$A$112,0))*(INDEX(Assumptions!$C$4:$C$46,MATCH("Total Twin",Assumptions!$A$4:$A$46,0))),(Q87*(1+INDEX(Assumptions!$C$108:$C$112,MATCH('Cash flow forecast'!$B87,Assumptions!$A$108:$A$112,0))/12))*(1+INDEX(Assumptions!$D$108:$D$112,MATCH('Cash flow forecast'!$B87,Assumptions!$A$108:$A$112,0))/12)))</f>
        <v>98.915626718714591</v>
      </c>
      <c r="S87" s="145">
        <f>IF(S$5&lt;Assumptions!$B$106,0,IF('Cash flow forecast'!S$5=Assumptions!$B$106,INDEX(Assumptions!$B$108:$B$112,MATCH('Cash flow forecast'!$B87,Assumptions!$A$108:$A$112,0))*(INDEX(Assumptions!$C$4:$C$46,MATCH("Total Twin",Assumptions!$A$4:$A$46,0))),(R87*(1+INDEX(Assumptions!$C$108:$C$112,MATCH('Cash flow forecast'!$B87,Assumptions!$A$108:$A$112,0))/12))*(1+INDEX(Assumptions!$D$108:$D$112,MATCH('Cash flow forecast'!$B87,Assumptions!$A$108:$A$112,0))/12)))</f>
        <v>99.573690402023814</v>
      </c>
      <c r="T87" s="145">
        <f>IF(T$5&lt;Assumptions!$B$106,0,IF('Cash flow forecast'!T$5=Assumptions!$B$106,INDEX(Assumptions!$B$108:$B$112,MATCH('Cash flow forecast'!$B87,Assumptions!$A$108:$A$112,0))*(INDEX(Assumptions!$C$4:$C$46,MATCH("Total Twin",Assumptions!$A$4:$A$46,0))),(S87*(1+INDEX(Assumptions!$C$108:$C$112,MATCH('Cash flow forecast'!$B87,Assumptions!$A$108:$A$112,0))/12))*(1+INDEX(Assumptions!$D$108:$D$112,MATCH('Cash flow forecast'!$B87,Assumptions!$A$108:$A$112,0))/12)))</f>
        <v>100.23613203678171</v>
      </c>
      <c r="U87" s="145">
        <f>IF(U$5&lt;Assumptions!$B$106,0,IF('Cash flow forecast'!U$5=Assumptions!$B$106,INDEX(Assumptions!$B$108:$B$112,MATCH('Cash flow forecast'!$B87,Assumptions!$A$108:$A$112,0))*(INDEX(Assumptions!$C$4:$C$46,MATCH("Total Twin",Assumptions!$A$4:$A$46,0))),(T87*(1+INDEX(Assumptions!$C$108:$C$112,MATCH('Cash flow forecast'!$B87,Assumptions!$A$108:$A$112,0))/12))*(1+INDEX(Assumptions!$D$108:$D$112,MATCH('Cash flow forecast'!$B87,Assumptions!$A$108:$A$112,0))/12)))</f>
        <v>100.9029807485264</v>
      </c>
      <c r="V87" s="145">
        <f>IF(V$5&lt;Assumptions!$B$106,0,IF('Cash flow forecast'!V$5=Assumptions!$B$106,INDEX(Assumptions!$B$108:$B$112,MATCH('Cash flow forecast'!$B87,Assumptions!$A$108:$A$112,0))*(INDEX(Assumptions!$C$4:$C$46,MATCH("Total Twin",Assumptions!$A$4:$A$46,0))),(U87*(1+INDEX(Assumptions!$C$108:$C$112,MATCH('Cash flow forecast'!$B87,Assumptions!$A$108:$A$112,0))/12))*(1+INDEX(Assumptions!$D$108:$D$112,MATCH('Cash flow forecast'!$B87,Assumptions!$A$108:$A$112,0))/12)))</f>
        <v>101.57426585656174</v>
      </c>
      <c r="W87" s="145">
        <f>IF(W$5&lt;Assumptions!$B$106,0,IF('Cash flow forecast'!W$5=Assumptions!$B$106,INDEX(Assumptions!$B$108:$B$112,MATCH('Cash flow forecast'!$B87,Assumptions!$A$108:$A$112,0))*(INDEX(Assumptions!$C$4:$C$46,MATCH("Total Twin",Assumptions!$A$4:$A$46,0))),(V87*(1+INDEX(Assumptions!$C$108:$C$112,MATCH('Cash flow forecast'!$B87,Assumptions!$A$108:$A$112,0))/12))*(1+INDEX(Assumptions!$D$108:$D$112,MATCH('Cash flow forecast'!$B87,Assumptions!$A$108:$A$112,0))/12)))</f>
        <v>102.25001687524636</v>
      </c>
      <c r="X87" s="145">
        <f>IF(X$5&lt;Assumptions!$B$106,0,IF('Cash flow forecast'!X$5=Assumptions!$B$106,INDEX(Assumptions!$B$108:$B$112,MATCH('Cash flow forecast'!$B87,Assumptions!$A$108:$A$112,0))*(INDEX(Assumptions!$C$4:$C$46,MATCH("Total Twin",Assumptions!$A$4:$A$46,0))),(W87*(1+INDEX(Assumptions!$C$108:$C$112,MATCH('Cash flow forecast'!$B87,Assumptions!$A$108:$A$112,0))/12))*(1+INDEX(Assumptions!$D$108:$D$112,MATCH('Cash flow forecast'!$B87,Assumptions!$A$108:$A$112,0))/12)))</f>
        <v>102.93026351529139</v>
      </c>
      <c r="Y87" s="145">
        <f>IF(Y$5&lt;Assumptions!$B$106,0,IF('Cash flow forecast'!Y$5=Assumptions!$B$106,INDEX(Assumptions!$B$108:$B$112,MATCH('Cash flow forecast'!$B87,Assumptions!$A$108:$A$112,0))*(INDEX(Assumptions!$C$4:$C$46,MATCH("Total Twin",Assumptions!$A$4:$A$46,0))),(X87*(1+INDEX(Assumptions!$C$108:$C$112,MATCH('Cash flow forecast'!$B87,Assumptions!$A$108:$A$112,0))/12))*(1+INDEX(Assumptions!$D$108:$D$112,MATCH('Cash flow forecast'!$B87,Assumptions!$A$108:$A$112,0))/12)))</f>
        <v>103.61503568506672</v>
      </c>
      <c r="Z87" s="146">
        <f>IF(Z$5&lt;Assumptions!$B$106,0,IF('Cash flow forecast'!Z$5=Assumptions!$B$106,INDEX(Assumptions!$B$108:$B$112,MATCH('Cash flow forecast'!$B87,Assumptions!$A$108:$A$112,0))*(INDEX(Assumptions!$C$4:$C$46,MATCH("Total Twin",Assumptions!$A$4:$A$46,0))),(Y87*(1+INDEX(Assumptions!$C$108:$C$112,MATCH('Cash flow forecast'!$B87,Assumptions!$A$108:$A$112,0))/12))*(1+INDEX(Assumptions!$D$108:$D$112,MATCH('Cash flow forecast'!$B87,Assumptions!$A$108:$A$112,0))/12)))</f>
        <v>104.30436349191598</v>
      </c>
      <c r="AA87" s="144">
        <f>SUMIFS($C87:$N87,$C$6:$N$6,AA$5)</f>
        <v>192.01654728255244</v>
      </c>
      <c r="AB87" s="145">
        <f>SUMIFS($C87:$N87,$C$6:$N$6,AB$5)</f>
        <v>91.35</v>
      </c>
      <c r="AC87" s="145">
        <f>SUMIFS($C87:$N87,$C$6:$N$6,AC$5)</f>
        <v>277.71258680167159</v>
      </c>
      <c r="AD87" s="146">
        <f>SUMIFS($C87:$N87,$C$6:$N$6,AD$5)</f>
        <v>283.29222317277032</v>
      </c>
      <c r="AE87" s="148">
        <f t="shared" ref="AE87:AE92" si="116">SUM($C87:$N87)</f>
        <v>844.37135725699443</v>
      </c>
      <c r="AF87" s="144">
        <f>SUMIFS($O87:$Z87,$O$6:$Z$6,AF$5)</f>
        <v>304.88681417873403</v>
      </c>
      <c r="AG87" s="145">
        <f t="shared" ref="AG87:AI91" si="117">SUMIFS($O87:$Z87,$O$6:$Z$6,AG$5)</f>
        <v>294.79005643795921</v>
      </c>
      <c r="AH87" s="145">
        <f t="shared" si="117"/>
        <v>300.71280318733193</v>
      </c>
      <c r="AI87" s="146">
        <f t="shared" si="117"/>
        <v>306.75454624709948</v>
      </c>
      <c r="AJ87" s="149">
        <f>SUM($O87:$Z87)</f>
        <v>1207.1442200511246</v>
      </c>
      <c r="AK87" s="238">
        <f t="shared" si="96"/>
        <v>2.0783443734090218E-3</v>
      </c>
      <c r="AL87" s="34"/>
    </row>
    <row r="88" spans="2:38" ht="22.15" hidden="1" customHeight="1" outlineLevel="1" x14ac:dyDescent="0.25">
      <c r="B88" s="91" t="s">
        <v>46</v>
      </c>
      <c r="C88" s="150">
        <f>IF(C$5&lt;Assumptions!$B$106,0,INDEX(Assumptions!$B$108:$B$112,MATCH('Cash flow forecast'!$B88,Assumptions!$A$108:$A$112,0))*(INDEX(Assumptions!$C$4:$C$46,MATCH("Total Full",Assumptions!$A$4:$A$46,0))))</f>
        <v>0</v>
      </c>
      <c r="D88" s="151">
        <f>IF(D$5&lt;Assumptions!$B$106,0,IF('Cash flow forecast'!D$5=Assumptions!$B$106,INDEX(Assumptions!$B$108:$B$112,MATCH('Cash flow forecast'!$B88,Assumptions!$A$108:$A$112,0))*(INDEX(Assumptions!$C$4:$C$46,MATCH("Total Full",Assumptions!$A$4:$A$46,0))),(C88*(1+INDEX(Assumptions!$C$108:$C$112,MATCH('Cash flow forecast'!$B88,Assumptions!$A$108:$A$112,0))/12))*(1+INDEX(Assumptions!$D$108:$D$112,MATCH('Cash flow forecast'!$B88,Assumptions!$A$108:$A$112,0))/12)))</f>
        <v>0</v>
      </c>
      <c r="E88" s="151">
        <f>IF(E$5&lt;Assumptions!$B$106,0,IF('Cash flow forecast'!E$5=Assumptions!$B$106,INDEX(Assumptions!$B$108:$B$112,MATCH('Cash flow forecast'!$B88,Assumptions!$A$108:$A$112,0))*(INDEX(Assumptions!$C$4:$C$46,MATCH("Total Full",Assumptions!$A$4:$A$46,0))),(D88*(1+INDEX(Assumptions!$C$108:$C$112,MATCH('Cash flow forecast'!$B88,Assumptions!$A$108:$A$112,0))/12))*(1+INDEX(Assumptions!$D$108:$D$112,MATCH('Cash flow forecast'!$B88,Assumptions!$A$108:$A$112,0))/12)))</f>
        <v>0</v>
      </c>
      <c r="F88" s="151">
        <f>IF(F$5&lt;Assumptions!$B$106,0,IF('Cash flow forecast'!F$5=Assumptions!$B$106,INDEX(Assumptions!$B$108:$B$112,MATCH('Cash flow forecast'!$B88,Assumptions!$A$108:$A$112,0))*(INDEX(Assumptions!$C$4:$C$46,MATCH("Total Full",Assumptions!$A$4:$A$46,0))),(E88*(1+INDEX(Assumptions!$C$108:$C$112,MATCH('Cash flow forecast'!$B88,Assumptions!$A$108:$A$112,0))/12))*(1+INDEX(Assumptions!$D$108:$D$112,MATCH('Cash flow forecast'!$B88,Assumptions!$A$108:$A$112,0))/12)))</f>
        <v>75.7</v>
      </c>
      <c r="G88" s="151">
        <f>IF(G$5&lt;Assumptions!$B$106,0,IF('Cash flow forecast'!G$5=Assumptions!$B$106,INDEX(Assumptions!$B$108:$B$112,MATCH('Cash flow forecast'!$B88,Assumptions!$A$108:$A$112,0))*(INDEX(Assumptions!$C$4:$C$46,MATCH("Total Full",Assumptions!$A$4:$A$46,0))),(F88*(1+INDEX(Assumptions!$C$108:$C$112,MATCH('Cash flow forecast'!$B88,Assumptions!$A$108:$A$112,0))/12))*(1+INDEX(Assumptions!$D$108:$D$112,MATCH('Cash flow forecast'!$B88,Assumptions!$A$108:$A$112,0))/12)))</f>
        <v>75.888724305555556</v>
      </c>
      <c r="H88" s="151">
        <f>IF(H$5&lt;Assumptions!$B$106,0,IF('Cash flow forecast'!H$5=Assumptions!$B$106,INDEX(Assumptions!$B$108:$B$112,MATCH('Cash flow forecast'!$B88,Assumptions!$A$108:$A$112,0))*(INDEX(Assumptions!$C$4:$C$46,MATCH("Total Full",Assumptions!$A$4:$A$46,0))),(G88*(1+INDEX(Assumptions!$C$108:$C$112,MATCH('Cash flow forecast'!$B88,Assumptions!$A$108:$A$112,0))/12))*(1+INDEX(Assumptions!$D$108:$D$112,MATCH('Cash flow forecast'!$B88,Assumptions!$A$108:$A$112,0))/12)))</f>
        <v>76.077919111289546</v>
      </c>
      <c r="I88" s="151">
        <f>IF(I$5&lt;Assumptions!$B$106,0,IF('Cash flow forecast'!I$5=Assumptions!$B$106,INDEX(Assumptions!$B$108:$B$112,MATCH('Cash flow forecast'!$B88,Assumptions!$A$108:$A$112,0))*(INDEX(Assumptions!$C$4:$C$46,MATCH("Total Full",Assumptions!$A$4:$A$46,0))),(H88*(1+INDEX(Assumptions!$C$108:$C$112,MATCH('Cash flow forecast'!$B88,Assumptions!$A$108:$A$112,0))/12))*(1+INDEX(Assumptions!$D$108:$D$112,MATCH('Cash flow forecast'!$B88,Assumptions!$A$108:$A$112,0))/12)))</f>
        <v>76.26758559018505</v>
      </c>
      <c r="J88" s="151">
        <f>IF(J$5&lt;Assumptions!$B$106,0,IF('Cash flow forecast'!J$5=Assumptions!$B$106,INDEX(Assumptions!$B$108:$B$112,MATCH('Cash flow forecast'!$B88,Assumptions!$A$108:$A$112,0))*(INDEX(Assumptions!$C$4:$C$46,MATCH("Total Full",Assumptions!$A$4:$A$46,0))),(I88*(1+INDEX(Assumptions!$C$108:$C$112,MATCH('Cash flow forecast'!$B88,Assumptions!$A$108:$A$112,0))/12))*(1+INDEX(Assumptions!$D$108:$D$112,MATCH('Cash flow forecast'!$B88,Assumptions!$A$108:$A$112,0))/12)))</f>
        <v>76.457724918149466</v>
      </c>
      <c r="K88" s="151">
        <f>IF(K$5&lt;Assumptions!$B$106,0,IF('Cash flow forecast'!K$5=Assumptions!$B$106,INDEX(Assumptions!$B$108:$B$112,MATCH('Cash flow forecast'!$B88,Assumptions!$A$108:$A$112,0))*(INDEX(Assumptions!$C$4:$C$46,MATCH("Total Full",Assumptions!$A$4:$A$46,0))),(J88*(1+INDEX(Assumptions!$C$108:$C$112,MATCH('Cash flow forecast'!$B88,Assumptions!$A$108:$A$112,0))/12))*(1+INDEX(Assumptions!$D$108:$D$112,MATCH('Cash flow forecast'!$B88,Assumptions!$A$108:$A$112,0))/12)))</f>
        <v>76.648338274021796</v>
      </c>
      <c r="L88" s="151">
        <f>IF(L$5&lt;Assumptions!$B$106,0,IF('Cash flow forecast'!L$5=Assumptions!$B$106,INDEX(Assumptions!$B$108:$B$112,MATCH('Cash flow forecast'!$B88,Assumptions!$A$108:$A$112,0))*(INDEX(Assumptions!$C$4:$C$46,MATCH("Total Full",Assumptions!$A$4:$A$46,0))),(K88*(1+INDEX(Assumptions!$C$108:$C$112,MATCH('Cash flow forecast'!$B88,Assumptions!$A$108:$A$112,0))/12))*(1+INDEX(Assumptions!$D$108:$D$112,MATCH('Cash flow forecast'!$B88,Assumptions!$A$108:$A$112,0))/12)))</f>
        <v>76.839426839579943</v>
      </c>
      <c r="M88" s="151">
        <f>IF(M$5&lt;Assumptions!$B$106,0,IF('Cash flow forecast'!M$5=Assumptions!$B$106,INDEX(Assumptions!$B$108:$B$112,MATCH('Cash flow forecast'!$B88,Assumptions!$A$108:$A$112,0))*(INDEX(Assumptions!$C$4:$C$46,MATCH("Total Full",Assumptions!$A$4:$A$46,0))),(L88*(1+INDEX(Assumptions!$C$108:$C$112,MATCH('Cash flow forecast'!$B88,Assumptions!$A$108:$A$112,0))/12))*(1+INDEX(Assumptions!$D$108:$D$112,MATCH('Cash flow forecast'!$B88,Assumptions!$A$108:$A$112,0))/12)))</f>
        <v>77.030991799548062</v>
      </c>
      <c r="N88" s="152">
        <f>IF(N$5&lt;Assumptions!$B$106,0,IF('Cash flow forecast'!N$5=Assumptions!$B$106,INDEX(Assumptions!$B$108:$B$112,MATCH('Cash flow forecast'!$B88,Assumptions!$A$108:$A$112,0))*(INDEX(Assumptions!$C$4:$C$46,MATCH("Total Full",Assumptions!$A$4:$A$46,0))),(M88*(1+INDEX(Assumptions!$C$108:$C$112,MATCH('Cash flow forecast'!$B88,Assumptions!$A$108:$A$112,0))/12))*(1+INDEX(Assumptions!$D$108:$D$112,MATCH('Cash flow forecast'!$B88,Assumptions!$A$108:$A$112,0))/12)))</f>
        <v>77.223034341603864</v>
      </c>
      <c r="O88" s="150">
        <f>IF(O$5&lt;Assumptions!$B$106,0,IF('Cash flow forecast'!O$5=Assumptions!$B$106,INDEX(Assumptions!$B$108:$B$112,MATCH('Cash flow forecast'!$B88,Assumptions!$A$108:$A$112,0))*(INDEX(Assumptions!$C$4:$C$46,MATCH("Total Full",Assumptions!$A$4:$A$46,0))),(N88*(1+INDEX(Assumptions!$C$108:$C$112,MATCH('Cash flow forecast'!$B88,Assumptions!$A$108:$A$112,0))/12))*(1+INDEX(Assumptions!$D$108:$D$112,MATCH('Cash flow forecast'!$B88,Assumptions!$A$108:$A$112,0))/12)))</f>
        <v>77.415555656386047</v>
      </c>
      <c r="P88" s="151">
        <f>IF(P$5&lt;Assumptions!$B$106,0,IF('Cash flow forecast'!P$5=Assumptions!$B$106,INDEX(Assumptions!$B$108:$B$112,MATCH('Cash flow forecast'!$B88,Assumptions!$A$108:$A$112,0))*(INDEX(Assumptions!$C$4:$C$46,MATCH("Total Full",Assumptions!$A$4:$A$46,0))),(O88*(1+INDEX(Assumptions!$C$108:$C$112,MATCH('Cash flow forecast'!$B88,Assumptions!$A$108:$A$112,0))/12))*(1+INDEX(Assumptions!$D$108:$D$112,MATCH('Cash flow forecast'!$B88,Assumptions!$A$108:$A$112,0))/12)))</f>
        <v>77.608556937501618</v>
      </c>
      <c r="Q88" s="151">
        <f>IF(Q$5&lt;Assumptions!$B$106,0,IF('Cash flow forecast'!Q$5=Assumptions!$B$106,INDEX(Assumptions!$B$108:$B$112,MATCH('Cash flow forecast'!$B88,Assumptions!$A$108:$A$112,0))*(INDEX(Assumptions!$C$4:$C$46,MATCH("Total Full",Assumptions!$A$4:$A$46,0))),(P88*(1+INDEX(Assumptions!$C$108:$C$112,MATCH('Cash flow forecast'!$B88,Assumptions!$A$108:$A$112,0))/12))*(1+INDEX(Assumptions!$D$108:$D$112,MATCH('Cash flow forecast'!$B88,Assumptions!$A$108:$A$112,0))/12)))</f>
        <v>77.802039381533305</v>
      </c>
      <c r="R88" s="151">
        <f>IF(R$5&lt;Assumptions!$B$106,0,IF('Cash flow forecast'!R$5=Assumptions!$B$106,INDEX(Assumptions!$B$108:$B$112,MATCH('Cash flow forecast'!$B88,Assumptions!$A$108:$A$112,0))*(INDEX(Assumptions!$C$4:$C$46,MATCH("Total Full",Assumptions!$A$4:$A$46,0))),(Q88*(1+INDEX(Assumptions!$C$108:$C$112,MATCH('Cash flow forecast'!$B88,Assumptions!$A$108:$A$112,0))/12))*(1+INDEX(Assumptions!$D$108:$D$112,MATCH('Cash flow forecast'!$B88,Assumptions!$A$108:$A$112,0))/12)))</f>
        <v>77.996004188046982</v>
      </c>
      <c r="S88" s="151">
        <f>IF(S$5&lt;Assumptions!$B$106,0,IF('Cash flow forecast'!S$5=Assumptions!$B$106,INDEX(Assumptions!$B$108:$B$112,MATCH('Cash flow forecast'!$B88,Assumptions!$A$108:$A$112,0))*(INDEX(Assumptions!$C$4:$C$46,MATCH("Total Full",Assumptions!$A$4:$A$46,0))),(R88*(1+INDEX(Assumptions!$C$108:$C$112,MATCH('Cash flow forecast'!$B88,Assumptions!$A$108:$A$112,0))/12))*(1+INDEX(Assumptions!$D$108:$D$112,MATCH('Cash flow forecast'!$B88,Assumptions!$A$108:$A$112,0))/12)))</f>
        <v>78.190452559599123</v>
      </c>
      <c r="T88" s="151">
        <f>IF(T$5&lt;Assumptions!$B$106,0,IF('Cash flow forecast'!T$5=Assumptions!$B$106,INDEX(Assumptions!$B$108:$B$112,MATCH('Cash flow forecast'!$B88,Assumptions!$A$108:$A$112,0))*(INDEX(Assumptions!$C$4:$C$46,MATCH("Total Full",Assumptions!$A$4:$A$46,0))),(S88*(1+INDEX(Assumptions!$C$108:$C$112,MATCH('Cash flow forecast'!$B88,Assumptions!$A$108:$A$112,0))/12))*(1+INDEX(Assumptions!$D$108:$D$112,MATCH('Cash flow forecast'!$B88,Assumptions!$A$108:$A$112,0))/12)))</f>
        <v>78.385385701744227</v>
      </c>
      <c r="U88" s="151">
        <f>IF(U$5&lt;Assumptions!$B$106,0,IF('Cash flow forecast'!U$5=Assumptions!$B$106,INDEX(Assumptions!$B$108:$B$112,MATCH('Cash flow forecast'!$B88,Assumptions!$A$108:$A$112,0))*(INDEX(Assumptions!$C$4:$C$46,MATCH("Total Full",Assumptions!$A$4:$A$46,0))),(T88*(1+INDEX(Assumptions!$C$108:$C$112,MATCH('Cash flow forecast'!$B88,Assumptions!$A$108:$A$112,0))/12))*(1+INDEX(Assumptions!$D$108:$D$112,MATCH('Cash flow forecast'!$B88,Assumptions!$A$108:$A$112,0))/12)))</f>
        <v>78.580804823042314</v>
      </c>
      <c r="V88" s="151">
        <f>IF(V$5&lt;Assumptions!$B$106,0,IF('Cash flow forecast'!V$5=Assumptions!$B$106,INDEX(Assumptions!$B$108:$B$112,MATCH('Cash flow forecast'!$B88,Assumptions!$A$108:$A$112,0))*(INDEX(Assumptions!$C$4:$C$46,MATCH("Total Full",Assumptions!$A$4:$A$46,0))),(U88*(1+INDEX(Assumptions!$C$108:$C$112,MATCH('Cash flow forecast'!$B88,Assumptions!$A$108:$A$112,0))/12))*(1+INDEX(Assumptions!$D$108:$D$112,MATCH('Cash flow forecast'!$B88,Assumptions!$A$108:$A$112,0))/12)))</f>
        <v>78.776711135066421</v>
      </c>
      <c r="W88" s="151">
        <f>IF(W$5&lt;Assumptions!$B$106,0,IF('Cash flow forecast'!W$5=Assumptions!$B$106,INDEX(Assumptions!$B$108:$B$112,MATCH('Cash flow forecast'!$B88,Assumptions!$A$108:$A$112,0))*(INDEX(Assumptions!$C$4:$C$46,MATCH("Total Full",Assumptions!$A$4:$A$46,0))),(V88*(1+INDEX(Assumptions!$C$108:$C$112,MATCH('Cash flow forecast'!$B88,Assumptions!$A$108:$A$112,0))/12))*(1+INDEX(Assumptions!$D$108:$D$112,MATCH('Cash flow forecast'!$B88,Assumptions!$A$108:$A$112,0))/12)))</f>
        <v>78.9731058524101</v>
      </c>
      <c r="X88" s="151">
        <f>IF(X$5&lt;Assumptions!$B$106,0,IF('Cash flow forecast'!X$5=Assumptions!$B$106,INDEX(Assumptions!$B$108:$B$112,MATCH('Cash flow forecast'!$B88,Assumptions!$A$108:$A$112,0))*(INDEX(Assumptions!$C$4:$C$46,MATCH("Total Full",Assumptions!$A$4:$A$46,0))),(W88*(1+INDEX(Assumptions!$C$108:$C$112,MATCH('Cash flow forecast'!$B88,Assumptions!$A$108:$A$112,0))/12))*(1+INDEX(Assumptions!$D$108:$D$112,MATCH('Cash flow forecast'!$B88,Assumptions!$A$108:$A$112,0))/12)))</f>
        <v>79.169990192694925</v>
      </c>
      <c r="Y88" s="151">
        <f>IF(Y$5&lt;Assumptions!$B$106,0,IF('Cash flow forecast'!Y$5=Assumptions!$B$106,INDEX(Assumptions!$B$108:$B$112,MATCH('Cash flow forecast'!$B88,Assumptions!$A$108:$A$112,0))*(INDEX(Assumptions!$C$4:$C$46,MATCH("Total Full",Assumptions!$A$4:$A$46,0))),(X88*(1+INDEX(Assumptions!$C$108:$C$112,MATCH('Cash flow forecast'!$B88,Assumptions!$A$108:$A$112,0))/12))*(1+INDEX(Assumptions!$D$108:$D$112,MATCH('Cash flow forecast'!$B88,Assumptions!$A$108:$A$112,0))/12)))</f>
        <v>79.367365376578107</v>
      </c>
      <c r="Z88" s="152">
        <f>IF(Z$5&lt;Assumptions!$B$106,0,IF('Cash flow forecast'!Z$5=Assumptions!$B$106,INDEX(Assumptions!$B$108:$B$112,MATCH('Cash flow forecast'!$B88,Assumptions!$A$108:$A$112,0))*(INDEX(Assumptions!$C$4:$C$46,MATCH("Total Full",Assumptions!$A$4:$A$46,0))),(Y88*(1+INDEX(Assumptions!$C$108:$C$112,MATCH('Cash flow forecast'!$B88,Assumptions!$A$108:$A$112,0))/12))*(1+INDEX(Assumptions!$D$108:$D$112,MATCH('Cash flow forecast'!$B88,Assumptions!$A$108:$A$112,0))/12)))</f>
        <v>79.565232627759983</v>
      </c>
      <c r="AA88" s="150">
        <f t="shared" ref="AA88:AD91" si="118">SUMIFS($C88:$N88,$C$6:$N$6,AA$5)</f>
        <v>154.25402614115194</v>
      </c>
      <c r="AB88" s="151">
        <f t="shared" si="118"/>
        <v>75.7</v>
      </c>
      <c r="AC88" s="151">
        <f t="shared" si="118"/>
        <v>228.23422900703014</v>
      </c>
      <c r="AD88" s="152">
        <f t="shared" si="118"/>
        <v>229.94549003175121</v>
      </c>
      <c r="AE88" s="154">
        <f t="shared" si="116"/>
        <v>688.13374517993316</v>
      </c>
      <c r="AF88" s="150">
        <f t="shared" ref="AF88:AF91" si="119">SUMIFS($O88:$Z88,$O$6:$Z$6,AF$5)</f>
        <v>236.34815366072417</v>
      </c>
      <c r="AG88" s="151">
        <f t="shared" si="117"/>
        <v>233.40660050708192</v>
      </c>
      <c r="AH88" s="151">
        <f t="shared" si="117"/>
        <v>235.15664308438565</v>
      </c>
      <c r="AI88" s="152">
        <f t="shared" si="117"/>
        <v>236.91980718017146</v>
      </c>
      <c r="AJ88" s="155">
        <f t="shared" ref="AJ88:AJ92" si="120">SUM($O88:$Z88)</f>
        <v>941.83120443236317</v>
      </c>
      <c r="AK88" s="60">
        <f t="shared" si="96"/>
        <v>1.651280896597279E-3</v>
      </c>
      <c r="AL88" s="34"/>
    </row>
    <row r="89" spans="2:38" ht="22.15" hidden="1" customHeight="1" outlineLevel="1" x14ac:dyDescent="0.25">
      <c r="B89" s="91" t="s">
        <v>47</v>
      </c>
      <c r="C89" s="150">
        <f>IF(C$5&lt;Assumptions!$B$106,0,INDEX(Assumptions!$B$108:$B$112,MATCH('Cash flow forecast'!$B89,Assumptions!$A$108:$A$112,0))*(INDEX(Assumptions!$C$4:$C$46,MATCH("Total Queen",Assumptions!$A$4:$A$46,0))))</f>
        <v>0</v>
      </c>
      <c r="D89" s="151">
        <f>IF(D$5&lt;Assumptions!$B$106,0,IF('Cash flow forecast'!D$5=Assumptions!$B$106,INDEX(Assumptions!$B$108:$B$112,MATCH('Cash flow forecast'!$B89,Assumptions!$A$108:$A$112,0))*(INDEX(Assumptions!$C$4:$C$46,MATCH("Total Queen",Assumptions!$A$4:$A$46,0))),(C89*(1+INDEX(Assumptions!$C$108:$C$112,MATCH('Cash flow forecast'!$B89,Assumptions!$A$108:$A$112,0))/12))*(1+INDEX(Assumptions!$D$108:$D$112,MATCH('Cash flow forecast'!$B89,Assumptions!$A$108:$A$112,0))/12)))</f>
        <v>0</v>
      </c>
      <c r="E89" s="151">
        <f>IF(E$5&lt;Assumptions!$B$106,0,IF('Cash flow forecast'!E$5=Assumptions!$B$106,INDEX(Assumptions!$B$108:$B$112,MATCH('Cash flow forecast'!$B89,Assumptions!$A$108:$A$112,0))*(INDEX(Assumptions!$C$4:$C$46,MATCH("Total Queen",Assumptions!$A$4:$A$46,0))),(D89*(1+INDEX(Assumptions!$C$108:$C$112,MATCH('Cash flow forecast'!$B89,Assumptions!$A$108:$A$112,0))/12))*(1+INDEX(Assumptions!$D$108:$D$112,MATCH('Cash flow forecast'!$B89,Assumptions!$A$108:$A$112,0))/12)))</f>
        <v>0</v>
      </c>
      <c r="F89" s="151">
        <f>IF(F$5&lt;Assumptions!$B$106,0,IF('Cash flow forecast'!F$5=Assumptions!$B$106,INDEX(Assumptions!$B$108:$B$112,MATCH('Cash flow forecast'!$B89,Assumptions!$A$108:$A$112,0))*(INDEX(Assumptions!$C$4:$C$46,MATCH("Total Queen",Assumptions!$A$4:$A$46,0))),(E89*(1+INDEX(Assumptions!$C$108:$C$112,MATCH('Cash flow forecast'!$B89,Assumptions!$A$108:$A$112,0))/12))*(1+INDEX(Assumptions!$D$108:$D$112,MATCH('Cash flow forecast'!$B89,Assumptions!$A$108:$A$112,0))/12)))</f>
        <v>130</v>
      </c>
      <c r="G89" s="151">
        <f>IF(G$5&lt;Assumptions!$B$106,0,IF('Cash flow forecast'!G$5=Assumptions!$B$106,INDEX(Assumptions!$B$108:$B$112,MATCH('Cash flow forecast'!$B89,Assumptions!$A$108:$A$112,0))*(INDEX(Assumptions!$C$4:$C$46,MATCH("Total Queen",Assumptions!$A$4:$A$46,0))),(F89*(1+INDEX(Assumptions!$C$108:$C$112,MATCH('Cash flow forecast'!$B89,Assumptions!$A$108:$A$112,0))/12))*(1+INDEX(Assumptions!$D$108:$D$112,MATCH('Cash flow forecast'!$B89,Assumptions!$A$108:$A$112,0))/12)))</f>
        <v>130.32409722222221</v>
      </c>
      <c r="H89" s="151">
        <f>IF(H$5&lt;Assumptions!$B$106,0,IF('Cash flow forecast'!H$5=Assumptions!$B$106,INDEX(Assumptions!$B$108:$B$112,MATCH('Cash flow forecast'!$B89,Assumptions!$A$108:$A$112,0))*(INDEX(Assumptions!$C$4:$C$46,MATCH("Total Queen",Assumptions!$A$4:$A$46,0))),(G89*(1+INDEX(Assumptions!$C$108:$C$112,MATCH('Cash flow forecast'!$B89,Assumptions!$A$108:$A$112,0))/12))*(1+INDEX(Assumptions!$D$108:$D$112,MATCH('Cash flow forecast'!$B89,Assumptions!$A$108:$A$112,0))/12)))</f>
        <v>130.64900243682484</v>
      </c>
      <c r="I89" s="151">
        <f>IF(I$5&lt;Assumptions!$B$106,0,IF('Cash flow forecast'!I$5=Assumptions!$B$106,INDEX(Assumptions!$B$108:$B$112,MATCH('Cash flow forecast'!$B89,Assumptions!$A$108:$A$112,0))*(INDEX(Assumptions!$C$4:$C$46,MATCH("Total Queen",Assumptions!$A$4:$A$46,0))),(H89*(1+INDEX(Assumptions!$C$108:$C$112,MATCH('Cash flow forecast'!$B89,Assumptions!$A$108:$A$112,0))/12))*(1+INDEX(Assumptions!$D$108:$D$112,MATCH('Cash flow forecast'!$B89,Assumptions!$A$108:$A$112,0))/12)))</f>
        <v>130.97471765817775</v>
      </c>
      <c r="J89" s="151">
        <f>IF(J$5&lt;Assumptions!$B$106,0,IF('Cash flow forecast'!J$5=Assumptions!$B$106,INDEX(Assumptions!$B$108:$B$112,MATCH('Cash flow forecast'!$B89,Assumptions!$A$108:$A$112,0))*(INDEX(Assumptions!$C$4:$C$46,MATCH("Total Queen",Assumptions!$A$4:$A$46,0))),(I89*(1+INDEX(Assumptions!$C$108:$C$112,MATCH('Cash flow forecast'!$B89,Assumptions!$A$108:$A$112,0))/12))*(1+INDEX(Assumptions!$D$108:$D$112,MATCH('Cash flow forecast'!$B89,Assumptions!$A$108:$A$112,0))/12)))</f>
        <v>131.30124490567277</v>
      </c>
      <c r="K89" s="151">
        <f>IF(K$5&lt;Assumptions!$B$106,0,IF('Cash flow forecast'!K$5=Assumptions!$B$106,INDEX(Assumptions!$B$108:$B$112,MATCH('Cash flow forecast'!$B89,Assumptions!$A$108:$A$112,0))*(INDEX(Assumptions!$C$4:$C$46,MATCH("Total Queen",Assumptions!$A$4:$A$46,0))),(J89*(1+INDEX(Assumptions!$C$108:$C$112,MATCH('Cash flow forecast'!$B89,Assumptions!$A$108:$A$112,0))/12))*(1+INDEX(Assumptions!$D$108:$D$112,MATCH('Cash flow forecast'!$B89,Assumptions!$A$108:$A$112,0))/12)))</f>
        <v>131.62858620373621</v>
      </c>
      <c r="L89" s="151">
        <f>IF(L$5&lt;Assumptions!$B$106,0,IF('Cash flow forecast'!L$5=Assumptions!$B$106,INDEX(Assumptions!$B$108:$B$112,MATCH('Cash flow forecast'!$B89,Assumptions!$A$108:$A$112,0))*(INDEX(Assumptions!$C$4:$C$46,MATCH("Total Queen",Assumptions!$A$4:$A$46,0))),(K89*(1+INDEX(Assumptions!$C$108:$C$112,MATCH('Cash flow forecast'!$B89,Assumptions!$A$108:$A$112,0))/12))*(1+INDEX(Assumptions!$D$108:$D$112,MATCH('Cash flow forecast'!$B89,Assumptions!$A$108:$A$112,0))/12)))</f>
        <v>131.95674358184132</v>
      </c>
      <c r="M89" s="151">
        <f>IF(M$5&lt;Assumptions!$B$106,0,IF('Cash flow forecast'!M$5=Assumptions!$B$106,INDEX(Assumptions!$B$108:$B$112,MATCH('Cash flow forecast'!$B89,Assumptions!$A$108:$A$112,0))*(INDEX(Assumptions!$C$4:$C$46,MATCH("Total Queen",Assumptions!$A$4:$A$46,0))),(L89*(1+INDEX(Assumptions!$C$108:$C$112,MATCH('Cash flow forecast'!$B89,Assumptions!$A$108:$A$112,0))/12))*(1+INDEX(Assumptions!$D$108:$D$112,MATCH('Cash flow forecast'!$B89,Assumptions!$A$108:$A$112,0))/12)))</f>
        <v>132.28571907452104</v>
      </c>
      <c r="N89" s="152">
        <f>IF(N$5&lt;Assumptions!$B$106,0,IF('Cash flow forecast'!N$5=Assumptions!$B$106,INDEX(Assumptions!$B$108:$B$112,MATCH('Cash flow forecast'!$B89,Assumptions!$A$108:$A$112,0))*(INDEX(Assumptions!$C$4:$C$46,MATCH("Total Queen",Assumptions!$A$4:$A$46,0))),(M89*(1+INDEX(Assumptions!$C$108:$C$112,MATCH('Cash flow forecast'!$B89,Assumptions!$A$108:$A$112,0))/12))*(1+INDEX(Assumptions!$D$108:$D$112,MATCH('Cash flow forecast'!$B89,Assumptions!$A$108:$A$112,0))/12)))</f>
        <v>132.61551472138044</v>
      </c>
      <c r="O89" s="150">
        <f>IF(O$5&lt;Assumptions!$B$106,0,IF('Cash flow forecast'!O$5=Assumptions!$B$106,INDEX(Assumptions!$B$108:$B$112,MATCH('Cash flow forecast'!$B89,Assumptions!$A$108:$A$112,0))*(INDEX(Assumptions!$C$4:$C$46,MATCH("Total Queen",Assumptions!$A$4:$A$46,0))),(N89*(1+INDEX(Assumptions!$C$108:$C$112,MATCH('Cash flow forecast'!$B89,Assumptions!$A$108:$A$112,0))/12))*(1+INDEX(Assumptions!$D$108:$D$112,MATCH('Cash flow forecast'!$B89,Assumptions!$A$108:$A$112,0))/12)))</f>
        <v>132.94613256710943</v>
      </c>
      <c r="P89" s="151">
        <f>IF(P$5&lt;Assumptions!$B$106,0,IF('Cash flow forecast'!P$5=Assumptions!$B$106,INDEX(Assumptions!$B$108:$B$112,MATCH('Cash flow forecast'!$B89,Assumptions!$A$108:$A$112,0))*(INDEX(Assumptions!$C$4:$C$46,MATCH("Total Queen",Assumptions!$A$4:$A$46,0))),(O89*(1+INDEX(Assumptions!$C$108:$C$112,MATCH('Cash flow forecast'!$B89,Assumptions!$A$108:$A$112,0))/12))*(1+INDEX(Assumptions!$D$108:$D$112,MATCH('Cash flow forecast'!$B89,Assumptions!$A$108:$A$112,0))/12)))</f>
        <v>133.27757466149546</v>
      </c>
      <c r="Q89" s="151">
        <f>IF(Q$5&lt;Assumptions!$B$106,0,IF('Cash flow forecast'!Q$5=Assumptions!$B$106,INDEX(Assumptions!$B$108:$B$112,MATCH('Cash flow forecast'!$B89,Assumptions!$A$108:$A$112,0))*(INDEX(Assumptions!$C$4:$C$46,MATCH("Total Queen",Assumptions!$A$4:$A$46,0))),(P89*(1+INDEX(Assumptions!$C$108:$C$112,MATCH('Cash flow forecast'!$B89,Assumptions!$A$108:$A$112,0))/12))*(1+INDEX(Assumptions!$D$108:$D$112,MATCH('Cash flow forecast'!$B89,Assumptions!$A$108:$A$112,0))/12)))</f>
        <v>133.60984305943626</v>
      </c>
      <c r="R89" s="151">
        <f>IF(R$5&lt;Assumptions!$B$106,0,IF('Cash flow forecast'!R$5=Assumptions!$B$106,INDEX(Assumptions!$B$108:$B$112,MATCH('Cash flow forecast'!$B89,Assumptions!$A$108:$A$112,0))*(INDEX(Assumptions!$C$4:$C$46,MATCH("Total Queen",Assumptions!$A$4:$A$46,0))),(Q89*(1+INDEX(Assumptions!$C$108:$C$112,MATCH('Cash flow forecast'!$B89,Assumptions!$A$108:$A$112,0))/12))*(1+INDEX(Assumptions!$D$108:$D$112,MATCH('Cash flow forecast'!$B89,Assumptions!$A$108:$A$112,0))/12)))</f>
        <v>133.94293982095246</v>
      </c>
      <c r="S89" s="151">
        <f>IF(S$5&lt;Assumptions!$B$106,0,IF('Cash flow forecast'!S$5=Assumptions!$B$106,INDEX(Assumptions!$B$108:$B$112,MATCH('Cash flow forecast'!$B89,Assumptions!$A$108:$A$112,0))*(INDEX(Assumptions!$C$4:$C$46,MATCH("Total Queen",Assumptions!$A$4:$A$46,0))),(R89*(1+INDEX(Assumptions!$C$108:$C$112,MATCH('Cash flow forecast'!$B89,Assumptions!$A$108:$A$112,0))/12))*(1+INDEX(Assumptions!$D$108:$D$112,MATCH('Cash flow forecast'!$B89,Assumptions!$A$108:$A$112,0))/12)))</f>
        <v>134.27686701120052</v>
      </c>
      <c r="T89" s="151">
        <f>IF(T$5&lt;Assumptions!$B$106,0,IF('Cash flow forecast'!T$5=Assumptions!$B$106,INDEX(Assumptions!$B$108:$B$112,MATCH('Cash flow forecast'!$B89,Assumptions!$A$108:$A$112,0))*(INDEX(Assumptions!$C$4:$C$46,MATCH("Total Queen",Assumptions!$A$4:$A$46,0))),(S89*(1+INDEX(Assumptions!$C$108:$C$112,MATCH('Cash flow forecast'!$B89,Assumptions!$A$108:$A$112,0))/12))*(1+INDEX(Assumptions!$D$108:$D$112,MATCH('Cash flow forecast'!$B89,Assumptions!$A$108:$A$112,0))/12)))</f>
        <v>134.61162670048537</v>
      </c>
      <c r="U89" s="151">
        <f>IF(U$5&lt;Assumptions!$B$106,0,IF('Cash flow forecast'!U$5=Assumptions!$B$106,INDEX(Assumptions!$B$108:$B$112,MATCH('Cash flow forecast'!$B89,Assumptions!$A$108:$A$112,0))*(INDEX(Assumptions!$C$4:$C$46,MATCH("Total Queen",Assumptions!$A$4:$A$46,0))),(T89*(1+INDEX(Assumptions!$C$108:$C$112,MATCH('Cash flow forecast'!$B89,Assumptions!$A$108:$A$112,0))/12))*(1+INDEX(Assumptions!$D$108:$D$112,MATCH('Cash flow forecast'!$B89,Assumptions!$A$108:$A$112,0))/12)))</f>
        <v>134.94722096427338</v>
      </c>
      <c r="V89" s="151">
        <f>IF(V$5&lt;Assumptions!$B$106,0,IF('Cash flow forecast'!V$5=Assumptions!$B$106,INDEX(Assumptions!$B$108:$B$112,MATCH('Cash flow forecast'!$B89,Assumptions!$A$108:$A$112,0))*(INDEX(Assumptions!$C$4:$C$46,MATCH("Total Queen",Assumptions!$A$4:$A$46,0))),(U89*(1+INDEX(Assumptions!$C$108:$C$112,MATCH('Cash flow forecast'!$B89,Assumptions!$A$108:$A$112,0))/12))*(1+INDEX(Assumptions!$D$108:$D$112,MATCH('Cash flow forecast'!$B89,Assumptions!$A$108:$A$112,0))/12)))</f>
        <v>135.28365188320512</v>
      </c>
      <c r="W89" s="151">
        <f>IF(W$5&lt;Assumptions!$B$106,0,IF('Cash flow forecast'!W$5=Assumptions!$B$106,INDEX(Assumptions!$B$108:$B$112,MATCH('Cash flow forecast'!$B89,Assumptions!$A$108:$A$112,0))*(INDEX(Assumptions!$C$4:$C$46,MATCH("Total Queen",Assumptions!$A$4:$A$46,0))),(V89*(1+INDEX(Assumptions!$C$108:$C$112,MATCH('Cash flow forecast'!$B89,Assumptions!$A$108:$A$112,0))/12))*(1+INDEX(Assumptions!$D$108:$D$112,MATCH('Cash flow forecast'!$B89,Assumptions!$A$108:$A$112,0))/12)))</f>
        <v>135.62092154310838</v>
      </c>
      <c r="X89" s="151">
        <f>IF(X$5&lt;Assumptions!$B$106,0,IF('Cash flow forecast'!X$5=Assumptions!$B$106,INDEX(Assumptions!$B$108:$B$112,MATCH('Cash flow forecast'!$B89,Assumptions!$A$108:$A$112,0))*(INDEX(Assumptions!$C$4:$C$46,MATCH("Total Queen",Assumptions!$A$4:$A$46,0))),(W89*(1+INDEX(Assumptions!$C$108:$C$112,MATCH('Cash flow forecast'!$B89,Assumptions!$A$108:$A$112,0))/12))*(1+INDEX(Assumptions!$D$108:$D$112,MATCH('Cash flow forecast'!$B89,Assumptions!$A$108:$A$112,0))/12)))</f>
        <v>135.95903203501098</v>
      </c>
      <c r="Y89" s="151">
        <f>IF(Y$5&lt;Assumptions!$B$106,0,IF('Cash flow forecast'!Y$5=Assumptions!$B$106,INDEX(Assumptions!$B$108:$B$112,MATCH('Cash flow forecast'!$B89,Assumptions!$A$108:$A$112,0))*(INDEX(Assumptions!$C$4:$C$46,MATCH("Total Queen",Assumptions!$A$4:$A$46,0))),(X89*(1+INDEX(Assumptions!$C$108:$C$112,MATCH('Cash flow forecast'!$B89,Assumptions!$A$108:$A$112,0))/12))*(1+INDEX(Assumptions!$D$108:$D$112,MATCH('Cash flow forecast'!$B89,Assumptions!$A$108:$A$112,0))/12)))</f>
        <v>136.29798545515379</v>
      </c>
      <c r="Z89" s="152">
        <f>IF(Z$5&lt;Assumptions!$B$106,0,IF('Cash flow forecast'!Z$5=Assumptions!$B$106,INDEX(Assumptions!$B$108:$B$112,MATCH('Cash flow forecast'!$B89,Assumptions!$A$108:$A$112,0))*(INDEX(Assumptions!$C$4:$C$46,MATCH("Total Queen",Assumptions!$A$4:$A$46,0))),(Y89*(1+INDEX(Assumptions!$C$108:$C$112,MATCH('Cash flow forecast'!$B89,Assumptions!$A$108:$A$112,0))/12))*(1+INDEX(Assumptions!$D$108:$D$112,MATCH('Cash flow forecast'!$B89,Assumptions!$A$108:$A$112,0))/12)))</f>
        <v>136.63778390500377</v>
      </c>
      <c r="AA89" s="150">
        <f t="shared" si="118"/>
        <v>264.90123379590148</v>
      </c>
      <c r="AB89" s="151">
        <f t="shared" si="118"/>
        <v>130</v>
      </c>
      <c r="AC89" s="151">
        <f t="shared" si="118"/>
        <v>391.9478173172248</v>
      </c>
      <c r="AD89" s="152">
        <f t="shared" si="118"/>
        <v>394.8865746912503</v>
      </c>
      <c r="AE89" s="154">
        <f t="shared" si="116"/>
        <v>1181.7356258043765</v>
      </c>
      <c r="AF89" s="150">
        <f t="shared" si="119"/>
        <v>405.88190192726699</v>
      </c>
      <c r="AG89" s="151">
        <f t="shared" si="117"/>
        <v>400.83035754188415</v>
      </c>
      <c r="AH89" s="151">
        <f t="shared" si="117"/>
        <v>403.83571467595925</v>
      </c>
      <c r="AI89" s="152">
        <f t="shared" si="117"/>
        <v>406.86360546132448</v>
      </c>
      <c r="AJ89" s="155">
        <f t="shared" si="120"/>
        <v>1617.4115796064348</v>
      </c>
      <c r="AK89" s="60">
        <f t="shared" si="96"/>
        <v>2.8357531909860788E-3</v>
      </c>
      <c r="AL89" s="34"/>
    </row>
    <row r="90" spans="2:38" ht="22.15" hidden="1" customHeight="1" outlineLevel="1" x14ac:dyDescent="0.25">
      <c r="B90" s="91" t="s">
        <v>48</v>
      </c>
      <c r="C90" s="150">
        <f>IF(C$5&lt;Assumptions!$B$106,0,INDEX(Assumptions!$B$108:$B$112,MATCH('Cash flow forecast'!$B90,Assumptions!$A$108:$A$112,0))*(INDEX(Assumptions!$C$4:$C$46,MATCH("Total King",Assumptions!$A$4:$A$46,0))))</f>
        <v>0</v>
      </c>
      <c r="D90" s="151">
        <f>IF(D$5&lt;Assumptions!$B$106,0,IF('Cash flow forecast'!D$5=Assumptions!$B$106,INDEX(Assumptions!$B$108:$B$112,MATCH('Cash flow forecast'!$B90,Assumptions!$A$108:$A$112,0))*(INDEX(Assumptions!$C$4:$C$46,MATCH("Total King",Assumptions!$A$4:$A$46,0))),(C90*(1+INDEX(Assumptions!$C$108:$C$112,MATCH('Cash flow forecast'!$B90,Assumptions!$A$108:$A$112,0))/12))*(1+INDEX(Assumptions!$D$108:$D$112,MATCH('Cash flow forecast'!$B90,Assumptions!$A$108:$A$112,0))/12)))</f>
        <v>0</v>
      </c>
      <c r="E90" s="151">
        <f>IF(E$5&lt;Assumptions!$B$106,0,IF('Cash flow forecast'!E$5=Assumptions!$B$106,INDEX(Assumptions!$B$108:$B$112,MATCH('Cash flow forecast'!$B90,Assumptions!$A$108:$A$112,0))*(INDEX(Assumptions!$C$4:$C$46,MATCH("Total King",Assumptions!$A$4:$A$46,0))),(D90*(1+INDEX(Assumptions!$C$108:$C$112,MATCH('Cash flow forecast'!$B90,Assumptions!$A$108:$A$112,0))/12))*(1+INDEX(Assumptions!$D$108:$D$112,MATCH('Cash flow forecast'!$B90,Assumptions!$A$108:$A$112,0))/12)))</f>
        <v>0</v>
      </c>
      <c r="F90" s="151">
        <f>IF(F$5&lt;Assumptions!$B$106,0,IF('Cash flow forecast'!F$5=Assumptions!$B$106,INDEX(Assumptions!$B$108:$B$112,MATCH('Cash flow forecast'!$B90,Assumptions!$A$108:$A$112,0))*(INDEX(Assumptions!$C$4:$C$46,MATCH("Total King",Assumptions!$A$4:$A$46,0))),(E90*(1+INDEX(Assumptions!$C$108:$C$112,MATCH('Cash flow forecast'!$B90,Assumptions!$A$108:$A$112,0))/12))*(1+INDEX(Assumptions!$D$108:$D$112,MATCH('Cash flow forecast'!$B90,Assumptions!$A$108:$A$112,0))/12)))</f>
        <v>170</v>
      </c>
      <c r="G90" s="151">
        <f>IF(G$5&lt;Assumptions!$B$106,0,IF('Cash flow forecast'!G$5=Assumptions!$B$106,INDEX(Assumptions!$B$108:$B$112,MATCH('Cash flow forecast'!$B90,Assumptions!$A$108:$A$112,0))*(INDEX(Assumptions!$C$4:$C$46,MATCH("Total King",Assumptions!$A$4:$A$46,0))),(F90*(1+INDEX(Assumptions!$C$108:$C$112,MATCH('Cash flow forecast'!$B90,Assumptions!$A$108:$A$112,0))/12))*(1+INDEX(Assumptions!$D$108:$D$112,MATCH('Cash flow forecast'!$B90,Assumptions!$A$108:$A$112,0))/12)))</f>
        <v>170.42381944444443</v>
      </c>
      <c r="H90" s="151">
        <f>IF(H$5&lt;Assumptions!$B$106,0,IF('Cash flow forecast'!H$5=Assumptions!$B$106,INDEX(Assumptions!$B$108:$B$112,MATCH('Cash flow forecast'!$B90,Assumptions!$A$108:$A$112,0))*(INDEX(Assumptions!$C$4:$C$46,MATCH("Total King",Assumptions!$A$4:$A$46,0))),(G90*(1+INDEX(Assumptions!$C$108:$C$112,MATCH('Cash flow forecast'!$B90,Assumptions!$A$108:$A$112,0))/12))*(1+INDEX(Assumptions!$D$108:$D$112,MATCH('Cash flow forecast'!$B90,Assumptions!$A$108:$A$112,0))/12)))</f>
        <v>170.8486954943094</v>
      </c>
      <c r="I90" s="151">
        <f>IF(I$5&lt;Assumptions!$B$106,0,IF('Cash flow forecast'!I$5=Assumptions!$B$106,INDEX(Assumptions!$B$108:$B$112,MATCH('Cash flow forecast'!$B90,Assumptions!$A$108:$A$112,0))*(INDEX(Assumptions!$C$4:$C$46,MATCH("Total King",Assumptions!$A$4:$A$46,0))),(H90*(1+INDEX(Assumptions!$C$108:$C$112,MATCH('Cash flow forecast'!$B90,Assumptions!$A$108:$A$112,0))/12))*(1+INDEX(Assumptions!$D$108:$D$112,MATCH('Cash flow forecast'!$B90,Assumptions!$A$108:$A$112,0))/12)))</f>
        <v>171.27463078377087</v>
      </c>
      <c r="J90" s="151">
        <f>IF(J$5&lt;Assumptions!$B$106,0,IF('Cash flow forecast'!J$5=Assumptions!$B$106,INDEX(Assumptions!$B$108:$B$112,MATCH('Cash flow forecast'!$B90,Assumptions!$A$108:$A$112,0))*(INDEX(Assumptions!$C$4:$C$46,MATCH("Total King",Assumptions!$A$4:$A$46,0))),(I90*(1+INDEX(Assumptions!$C$108:$C$112,MATCH('Cash flow forecast'!$B90,Assumptions!$A$108:$A$112,0))/12))*(1+INDEX(Assumptions!$D$108:$D$112,MATCH('Cash flow forecast'!$B90,Assumptions!$A$108:$A$112,0))/12)))</f>
        <v>171.70162795357209</v>
      </c>
      <c r="K90" s="151">
        <f>IF(K$5&lt;Assumptions!$B$106,0,IF('Cash flow forecast'!K$5=Assumptions!$B$106,INDEX(Assumptions!$B$108:$B$112,MATCH('Cash flow forecast'!$B90,Assumptions!$A$108:$A$112,0))*(INDEX(Assumptions!$C$4:$C$46,MATCH("Total King",Assumptions!$A$4:$A$46,0))),(J90*(1+INDEX(Assumptions!$C$108:$C$112,MATCH('Cash flow forecast'!$B90,Assumptions!$A$108:$A$112,0))/12))*(1+INDEX(Assumptions!$D$108:$D$112,MATCH('Cash flow forecast'!$B90,Assumptions!$A$108:$A$112,0))/12)))</f>
        <v>172.12968965103966</v>
      </c>
      <c r="L90" s="151">
        <f>IF(L$5&lt;Assumptions!$B$106,0,IF('Cash flow forecast'!L$5=Assumptions!$B$106,INDEX(Assumptions!$B$108:$B$112,MATCH('Cash flow forecast'!$B90,Assumptions!$A$108:$A$112,0))*(INDEX(Assumptions!$C$4:$C$46,MATCH("Total King",Assumptions!$A$4:$A$46,0))),(K90*(1+INDEX(Assumptions!$C$108:$C$112,MATCH('Cash flow forecast'!$B90,Assumptions!$A$108:$A$112,0))/12))*(1+INDEX(Assumptions!$D$108:$D$112,MATCH('Cash flow forecast'!$B90,Assumptions!$A$108:$A$112,0))/12)))</f>
        <v>172.55881853010021</v>
      </c>
      <c r="M90" s="151">
        <f>IF(M$5&lt;Assumptions!$B$106,0,IF('Cash flow forecast'!M$5=Assumptions!$B$106,INDEX(Assumptions!$B$108:$B$112,MATCH('Cash flow forecast'!$B90,Assumptions!$A$108:$A$112,0))*(INDEX(Assumptions!$C$4:$C$46,MATCH("Total King",Assumptions!$A$4:$A$46,0))),(L90*(1+INDEX(Assumptions!$C$108:$C$112,MATCH('Cash flow forecast'!$B90,Assumptions!$A$108:$A$112,0))/12))*(1+INDEX(Assumptions!$D$108:$D$112,MATCH('Cash flow forecast'!$B90,Assumptions!$A$108:$A$112,0))/12)))</f>
        <v>172.98901725129676</v>
      </c>
      <c r="N90" s="152">
        <f>IF(N$5&lt;Assumptions!$B$106,0,IF('Cash flow forecast'!N$5=Assumptions!$B$106,INDEX(Assumptions!$B$108:$B$112,MATCH('Cash flow forecast'!$B90,Assumptions!$A$108:$A$112,0))*(INDEX(Assumptions!$C$4:$C$46,MATCH("Total King",Assumptions!$A$4:$A$46,0))),(M90*(1+INDEX(Assumptions!$C$108:$C$112,MATCH('Cash flow forecast'!$B90,Assumptions!$A$108:$A$112,0))/12))*(1+INDEX(Assumptions!$D$108:$D$112,MATCH('Cash flow forecast'!$B90,Assumptions!$A$108:$A$112,0))/12)))</f>
        <v>173.42028848180519</v>
      </c>
      <c r="O90" s="150">
        <f>IF(O$5&lt;Assumptions!$B$106,0,IF('Cash flow forecast'!O$5=Assumptions!$B$106,INDEX(Assumptions!$B$108:$B$112,MATCH('Cash flow forecast'!$B90,Assumptions!$A$108:$A$112,0))*(INDEX(Assumptions!$C$4:$C$46,MATCH("Total King",Assumptions!$A$4:$A$46,0))),(N90*(1+INDEX(Assumptions!$C$108:$C$112,MATCH('Cash flow forecast'!$B90,Assumptions!$A$108:$A$112,0))/12))*(1+INDEX(Assumptions!$D$108:$D$112,MATCH('Cash flow forecast'!$B90,Assumptions!$A$108:$A$112,0))/12)))</f>
        <v>173.85263489545079</v>
      </c>
      <c r="P90" s="151">
        <f>IF(P$5&lt;Assumptions!$B$106,0,IF('Cash flow forecast'!P$5=Assumptions!$B$106,INDEX(Assumptions!$B$108:$B$112,MATCH('Cash flow forecast'!$B90,Assumptions!$A$108:$A$112,0))*(INDEX(Assumptions!$C$4:$C$46,MATCH("Total King",Assumptions!$A$4:$A$46,0))),(O90*(1+INDEX(Assumptions!$C$108:$C$112,MATCH('Cash flow forecast'!$B90,Assumptions!$A$108:$A$112,0))/12))*(1+INDEX(Assumptions!$D$108:$D$112,MATCH('Cash flow forecast'!$B90,Assumptions!$A$108:$A$112,0))/12)))</f>
        <v>174.28605917272486</v>
      </c>
      <c r="Q90" s="151">
        <f>IF(Q$5&lt;Assumptions!$B$106,0,IF('Cash flow forecast'!Q$5=Assumptions!$B$106,INDEX(Assumptions!$B$108:$B$112,MATCH('Cash flow forecast'!$B90,Assumptions!$A$108:$A$112,0))*(INDEX(Assumptions!$C$4:$C$46,MATCH("Total King",Assumptions!$A$4:$A$46,0))),(P90*(1+INDEX(Assumptions!$C$108:$C$112,MATCH('Cash flow forecast'!$B90,Assumptions!$A$108:$A$112,0))/12))*(1+INDEX(Assumptions!$D$108:$D$112,MATCH('Cash flow forecast'!$B90,Assumptions!$A$108:$A$112,0))/12)))</f>
        <v>174.72056400080129</v>
      </c>
      <c r="R90" s="151">
        <f>IF(R$5&lt;Assumptions!$B$106,0,IF('Cash flow forecast'!R$5=Assumptions!$B$106,INDEX(Assumptions!$B$108:$B$112,MATCH('Cash flow forecast'!$B90,Assumptions!$A$108:$A$112,0))*(INDEX(Assumptions!$C$4:$C$46,MATCH("Total King",Assumptions!$A$4:$A$46,0))),(Q90*(1+INDEX(Assumptions!$C$108:$C$112,MATCH('Cash flow forecast'!$B90,Assumptions!$A$108:$A$112,0))/12))*(1+INDEX(Assumptions!$D$108:$D$112,MATCH('Cash flow forecast'!$B90,Assumptions!$A$108:$A$112,0))/12)))</f>
        <v>175.15615207355327</v>
      </c>
      <c r="S90" s="151">
        <f>IF(S$5&lt;Assumptions!$B$106,0,IF('Cash flow forecast'!S$5=Assumptions!$B$106,INDEX(Assumptions!$B$108:$B$112,MATCH('Cash flow forecast'!$B90,Assumptions!$A$108:$A$112,0))*(INDEX(Assumptions!$C$4:$C$46,MATCH("Total King",Assumptions!$A$4:$A$46,0))),(R90*(1+INDEX(Assumptions!$C$108:$C$112,MATCH('Cash flow forecast'!$B90,Assumptions!$A$108:$A$112,0))/12))*(1+INDEX(Assumptions!$D$108:$D$112,MATCH('Cash flow forecast'!$B90,Assumptions!$A$108:$A$112,0))/12)))</f>
        <v>175.59282609156998</v>
      </c>
      <c r="T90" s="151">
        <f>IF(T$5&lt;Assumptions!$B$106,0,IF('Cash flow forecast'!T$5=Assumptions!$B$106,INDEX(Assumptions!$B$108:$B$112,MATCH('Cash flow forecast'!$B90,Assumptions!$A$108:$A$112,0))*(INDEX(Assumptions!$C$4:$C$46,MATCH("Total King",Assumptions!$A$4:$A$46,0))),(S90*(1+INDEX(Assumptions!$C$108:$C$112,MATCH('Cash flow forecast'!$B90,Assumptions!$A$108:$A$112,0))/12))*(1+INDEX(Assumptions!$D$108:$D$112,MATCH('Cash flow forecast'!$B90,Assumptions!$A$108:$A$112,0))/12)))</f>
        <v>176.03058876217324</v>
      </c>
      <c r="U90" s="151">
        <f>IF(U$5&lt;Assumptions!$B$106,0,IF('Cash flow forecast'!U$5=Assumptions!$B$106,INDEX(Assumptions!$B$108:$B$112,MATCH('Cash flow forecast'!$B90,Assumptions!$A$108:$A$112,0))*(INDEX(Assumptions!$C$4:$C$46,MATCH("Total King",Assumptions!$A$4:$A$46,0))),(T90*(1+INDEX(Assumptions!$C$108:$C$112,MATCH('Cash flow forecast'!$B90,Assumptions!$A$108:$A$112,0))/12))*(1+INDEX(Assumptions!$D$108:$D$112,MATCH('Cash flow forecast'!$B90,Assumptions!$A$108:$A$112,0))/12)))</f>
        <v>176.46944279943449</v>
      </c>
      <c r="V90" s="151">
        <f>IF(V$5&lt;Assumptions!$B$106,0,IF('Cash flow forecast'!V$5=Assumptions!$B$106,INDEX(Assumptions!$B$108:$B$112,MATCH('Cash flow forecast'!$B90,Assumptions!$A$108:$A$112,0))*(INDEX(Assumptions!$C$4:$C$46,MATCH("Total King",Assumptions!$A$4:$A$46,0))),(U90*(1+INDEX(Assumptions!$C$108:$C$112,MATCH('Cash flow forecast'!$B90,Assumptions!$A$108:$A$112,0))/12))*(1+INDEX(Assumptions!$D$108:$D$112,MATCH('Cash flow forecast'!$B90,Assumptions!$A$108:$A$112,0))/12)))</f>
        <v>176.90939092419143</v>
      </c>
      <c r="W90" s="151">
        <f>IF(W$5&lt;Assumptions!$B$106,0,IF('Cash flow forecast'!W$5=Assumptions!$B$106,INDEX(Assumptions!$B$108:$B$112,MATCH('Cash flow forecast'!$B90,Assumptions!$A$108:$A$112,0))*(INDEX(Assumptions!$C$4:$C$46,MATCH("Total King",Assumptions!$A$4:$A$46,0))),(V90*(1+INDEX(Assumptions!$C$108:$C$112,MATCH('Cash flow forecast'!$B90,Assumptions!$A$108:$A$112,0))/12))*(1+INDEX(Assumptions!$D$108:$D$112,MATCH('Cash flow forecast'!$B90,Assumptions!$A$108:$A$112,0))/12)))</f>
        <v>177.35043586406491</v>
      </c>
      <c r="X90" s="151">
        <f>IF(X$5&lt;Assumptions!$B$106,0,IF('Cash flow forecast'!X$5=Assumptions!$B$106,INDEX(Assumptions!$B$108:$B$112,MATCH('Cash flow forecast'!$B90,Assumptions!$A$108:$A$112,0))*(INDEX(Assumptions!$C$4:$C$46,MATCH("Total King",Assumptions!$A$4:$A$46,0))),(W90*(1+INDEX(Assumptions!$C$108:$C$112,MATCH('Cash flow forecast'!$B90,Assumptions!$A$108:$A$112,0))/12))*(1+INDEX(Assumptions!$D$108:$D$112,MATCH('Cash flow forecast'!$B90,Assumptions!$A$108:$A$112,0))/12)))</f>
        <v>177.79258035347601</v>
      </c>
      <c r="Y90" s="151">
        <f>IF(Y$5&lt;Assumptions!$B$106,0,IF('Cash flow forecast'!Y$5=Assumptions!$B$106,INDEX(Assumptions!$B$108:$B$112,MATCH('Cash flow forecast'!$B90,Assumptions!$A$108:$A$112,0))*(INDEX(Assumptions!$C$4:$C$46,MATCH("Total King",Assumptions!$A$4:$A$46,0))),(X90*(1+INDEX(Assumptions!$C$108:$C$112,MATCH('Cash flow forecast'!$B90,Assumptions!$A$108:$A$112,0))/12))*(1+INDEX(Assumptions!$D$108:$D$112,MATCH('Cash flow forecast'!$B90,Assumptions!$A$108:$A$112,0))/12)))</f>
        <v>178.23582713366278</v>
      </c>
      <c r="Z90" s="152">
        <f>IF(Z$5&lt;Assumptions!$B$106,0,IF('Cash flow forecast'!Z$5=Assumptions!$B$106,INDEX(Assumptions!$B$108:$B$112,MATCH('Cash flow forecast'!$B90,Assumptions!$A$108:$A$112,0))*(INDEX(Assumptions!$C$4:$C$46,MATCH("Total King",Assumptions!$A$4:$A$46,0))),(Y90*(1+INDEX(Assumptions!$C$108:$C$112,MATCH('Cash flow forecast'!$B90,Assumptions!$A$108:$A$112,0))/12))*(1+INDEX(Assumptions!$D$108:$D$112,MATCH('Cash flow forecast'!$B90,Assumptions!$A$108:$A$112,0))/12)))</f>
        <v>178.68017895269739</v>
      </c>
      <c r="AA90" s="150">
        <f t="shared" si="118"/>
        <v>346.40930573310197</v>
      </c>
      <c r="AB90" s="151">
        <f t="shared" si="118"/>
        <v>170</v>
      </c>
      <c r="AC90" s="151">
        <f t="shared" si="118"/>
        <v>512.54714572252465</v>
      </c>
      <c r="AD90" s="152">
        <f t="shared" si="118"/>
        <v>516.39013613471195</v>
      </c>
      <c r="AE90" s="154">
        <f t="shared" si="116"/>
        <v>1545.3465875903385</v>
      </c>
      <c r="AF90" s="150">
        <f t="shared" si="119"/>
        <v>530.7686409818109</v>
      </c>
      <c r="AG90" s="151">
        <f t="shared" si="117"/>
        <v>524.16277524707937</v>
      </c>
      <c r="AH90" s="151">
        <f t="shared" si="117"/>
        <v>528.0928576531777</v>
      </c>
      <c r="AI90" s="152">
        <f t="shared" si="117"/>
        <v>532.05240714173237</v>
      </c>
      <c r="AJ90" s="155">
        <f t="shared" si="120"/>
        <v>2115.0766810238006</v>
      </c>
      <c r="AK90" s="60">
        <f t="shared" si="96"/>
        <v>3.708292634366412E-3</v>
      </c>
      <c r="AL90" s="34"/>
    </row>
    <row r="91" spans="2:38" ht="22.15" hidden="1" customHeight="1" outlineLevel="1" x14ac:dyDescent="0.25">
      <c r="B91" s="91" t="s">
        <v>49</v>
      </c>
      <c r="C91" s="161">
        <f>IF(C$5&lt;Assumptions!$B$106,0,INDEX(Assumptions!$B$108:$B$112,MATCH('Cash flow forecast'!$B91,Assumptions!$A$108:$A$112,0))*(INDEX(Assumptions!$C$4:$C$46,MATCH("Total Universal",Assumptions!$A$4:$A$46,0))))</f>
        <v>0</v>
      </c>
      <c r="D91" s="162">
        <f>IF(D$5&lt;Assumptions!$B$106,0,IF('Cash flow forecast'!D$5=Assumptions!$B$106,INDEX(Assumptions!$B$108:$B$112,MATCH('Cash flow forecast'!$B91,Assumptions!$A$108:$A$112,0))*(INDEX(Assumptions!$C$4:$C$46,MATCH("Total Universal",Assumptions!$A$4:$A$46,0))),(C91*(1+INDEX(Assumptions!$C$108:$C$112,MATCH('Cash flow forecast'!$B91,Assumptions!$A$108:$A$112,0))/12))*(1+INDEX(Assumptions!$D$108:$D$112,MATCH('Cash flow forecast'!$B91,Assumptions!$A$108:$A$112,0))/12)))</f>
        <v>0</v>
      </c>
      <c r="E91" s="162">
        <f>IF(E$5&lt;Assumptions!$B$106,0,IF('Cash flow forecast'!E$5=Assumptions!$B$106,INDEX(Assumptions!$B$108:$B$112,MATCH('Cash flow forecast'!$B91,Assumptions!$A$108:$A$112,0))*(INDEX(Assumptions!$C$4:$C$46,MATCH("Total Universal",Assumptions!$A$4:$A$46,0))),(D91*(1+INDEX(Assumptions!$C$108:$C$112,MATCH('Cash flow forecast'!$B91,Assumptions!$A$108:$A$112,0))/12))*(1+INDEX(Assumptions!$D$108:$D$112,MATCH('Cash flow forecast'!$B91,Assumptions!$A$108:$A$112,0))/12)))</f>
        <v>0</v>
      </c>
      <c r="F91" s="162">
        <f>IF(F$5&lt;Assumptions!$B$106,0,IF('Cash flow forecast'!F$5=Assumptions!$B$106,INDEX(Assumptions!$B$108:$B$112,MATCH('Cash flow forecast'!$B91,Assumptions!$A$108:$A$112,0))*(INDEX(Assumptions!$C$4:$C$46,MATCH("Total Universal",Assumptions!$A$4:$A$46,0))),(E91*(1+INDEX(Assumptions!$C$108:$C$112,MATCH('Cash flow forecast'!$B91,Assumptions!$A$108:$A$112,0))/12))*(1+INDEX(Assumptions!$D$108:$D$112,MATCH('Cash flow forecast'!$B91,Assumptions!$A$108:$A$112,0))/12)))</f>
        <v>43.55</v>
      </c>
      <c r="G91" s="162">
        <f>IF(G$5&lt;Assumptions!$B$106,0,IF('Cash flow forecast'!G$5=Assumptions!$B$106,INDEX(Assumptions!$B$108:$B$112,MATCH('Cash flow forecast'!$B91,Assumptions!$A$108:$A$112,0))*(INDEX(Assumptions!$C$4:$C$46,MATCH("Total Universal",Assumptions!$A$4:$A$46,0))),(F91*(1+INDEX(Assumptions!$C$108:$C$112,MATCH('Cash flow forecast'!$B91,Assumptions!$A$108:$A$112,0))/12))*(1+INDEX(Assumptions!$D$108:$D$112,MATCH('Cash flow forecast'!$B91,Assumptions!$A$108:$A$112,0))/12)))</f>
        <v>43.658572569444438</v>
      </c>
      <c r="H91" s="162">
        <f>IF(H$5&lt;Assumptions!$B$106,0,IF('Cash flow forecast'!H$5=Assumptions!$B$106,INDEX(Assumptions!$B$108:$B$112,MATCH('Cash flow forecast'!$B91,Assumptions!$A$108:$A$112,0))*(INDEX(Assumptions!$C$4:$C$46,MATCH("Total Universal",Assumptions!$A$4:$A$46,0))),(G91*(1+INDEX(Assumptions!$C$108:$C$112,MATCH('Cash flow forecast'!$B91,Assumptions!$A$108:$A$112,0))/12))*(1+INDEX(Assumptions!$D$108:$D$112,MATCH('Cash flow forecast'!$B91,Assumptions!$A$108:$A$112,0))/12)))</f>
        <v>43.767415816336317</v>
      </c>
      <c r="I91" s="162">
        <f>IF(I$5&lt;Assumptions!$B$106,0,IF('Cash flow forecast'!I$5=Assumptions!$B$106,INDEX(Assumptions!$B$108:$B$112,MATCH('Cash flow forecast'!$B91,Assumptions!$A$108:$A$112,0))*(INDEX(Assumptions!$C$4:$C$46,MATCH("Total Universal",Assumptions!$A$4:$A$46,0))),(H91*(1+INDEX(Assumptions!$C$108:$C$112,MATCH('Cash flow forecast'!$B91,Assumptions!$A$108:$A$112,0))/12))*(1+INDEX(Assumptions!$D$108:$D$112,MATCH('Cash flow forecast'!$B91,Assumptions!$A$108:$A$112,0))/12)))</f>
        <v>43.876530415489547</v>
      </c>
      <c r="J91" s="162">
        <f>IF(J$5&lt;Assumptions!$B$106,0,IF('Cash flow forecast'!J$5=Assumptions!$B$106,INDEX(Assumptions!$B$108:$B$112,MATCH('Cash flow forecast'!$B91,Assumptions!$A$108:$A$112,0))*(INDEX(Assumptions!$C$4:$C$46,MATCH("Total Universal",Assumptions!$A$4:$A$46,0))),(I91*(1+INDEX(Assumptions!$C$108:$C$112,MATCH('Cash flow forecast'!$B91,Assumptions!$A$108:$A$112,0))/12))*(1+INDEX(Assumptions!$D$108:$D$112,MATCH('Cash flow forecast'!$B91,Assumptions!$A$108:$A$112,0))/12)))</f>
        <v>43.985917043400384</v>
      </c>
      <c r="K91" s="162">
        <f>IF(K$5&lt;Assumptions!$B$106,0,IF('Cash flow forecast'!K$5=Assumptions!$B$106,INDEX(Assumptions!$B$108:$B$112,MATCH('Cash flow forecast'!$B91,Assumptions!$A$108:$A$112,0))*(INDEX(Assumptions!$C$4:$C$46,MATCH("Total Universal",Assumptions!$A$4:$A$46,0))),(J91*(1+INDEX(Assumptions!$C$108:$C$112,MATCH('Cash flow forecast'!$B91,Assumptions!$A$108:$A$112,0))/12))*(1+INDEX(Assumptions!$D$108:$D$112,MATCH('Cash flow forecast'!$B91,Assumptions!$A$108:$A$112,0))/12)))</f>
        <v>44.095576378251636</v>
      </c>
      <c r="L91" s="162">
        <f>IF(L$5&lt;Assumptions!$B$106,0,IF('Cash flow forecast'!L$5=Assumptions!$B$106,INDEX(Assumptions!$B$108:$B$112,MATCH('Cash flow forecast'!$B91,Assumptions!$A$108:$A$112,0))*(INDEX(Assumptions!$C$4:$C$46,MATCH("Total Universal",Assumptions!$A$4:$A$46,0))),(K91*(1+INDEX(Assumptions!$C$108:$C$112,MATCH('Cash flow forecast'!$B91,Assumptions!$A$108:$A$112,0))/12))*(1+INDEX(Assumptions!$D$108:$D$112,MATCH('Cash flow forecast'!$B91,Assumptions!$A$108:$A$112,0))/12)))</f>
        <v>44.20550909991686</v>
      </c>
      <c r="M91" s="162">
        <f>IF(M$5&lt;Assumptions!$B$106,0,IF('Cash flow forecast'!M$5=Assumptions!$B$106,INDEX(Assumptions!$B$108:$B$112,MATCH('Cash flow forecast'!$B91,Assumptions!$A$108:$A$112,0))*(INDEX(Assumptions!$C$4:$C$46,MATCH("Total Universal",Assumptions!$A$4:$A$46,0))),(L91*(1+INDEX(Assumptions!$C$108:$C$112,MATCH('Cash flow forecast'!$B91,Assumptions!$A$108:$A$112,0))/12))*(1+INDEX(Assumptions!$D$108:$D$112,MATCH('Cash flow forecast'!$B91,Assumptions!$A$108:$A$112,0))/12)))</f>
        <v>44.315715889964565</v>
      </c>
      <c r="N91" s="171">
        <f>IF(N$5&lt;Assumptions!$B$106,0,IF('Cash flow forecast'!N$5=Assumptions!$B$106,INDEX(Assumptions!$B$108:$B$112,MATCH('Cash flow forecast'!$B91,Assumptions!$A$108:$A$112,0))*(INDEX(Assumptions!$C$4:$C$46,MATCH("Total Universal",Assumptions!$A$4:$A$46,0))),(M91*(1+INDEX(Assumptions!$C$108:$C$112,MATCH('Cash flow forecast'!$B91,Assumptions!$A$108:$A$112,0))/12))*(1+INDEX(Assumptions!$D$108:$D$112,MATCH('Cash flow forecast'!$B91,Assumptions!$A$108:$A$112,0))/12)))</f>
        <v>44.426197431662466</v>
      </c>
      <c r="O91" s="161">
        <f>IF(O$5&lt;Assumptions!$B$106,0,IF('Cash flow forecast'!O$5=Assumptions!$B$106,INDEX(Assumptions!$B$108:$B$112,MATCH('Cash flow forecast'!$B91,Assumptions!$A$108:$A$112,0))*(INDEX(Assumptions!$C$4:$C$46,MATCH("Total Universal",Assumptions!$A$4:$A$46,0))),(N91*(1+INDEX(Assumptions!$C$108:$C$112,MATCH('Cash flow forecast'!$B91,Assumptions!$A$108:$A$112,0))/12))*(1+INDEX(Assumptions!$D$108:$D$112,MATCH('Cash flow forecast'!$B91,Assumptions!$A$108:$A$112,0))/12)))</f>
        <v>44.536954409981675</v>
      </c>
      <c r="P91" s="162">
        <f>IF(P$5&lt;Assumptions!$B$106,0,IF('Cash flow forecast'!P$5=Assumptions!$B$106,INDEX(Assumptions!$B$108:$B$112,MATCH('Cash flow forecast'!$B91,Assumptions!$A$108:$A$112,0))*(INDEX(Assumptions!$C$4:$C$46,MATCH("Total Universal",Assumptions!$A$4:$A$46,0))),(O91*(1+INDEX(Assumptions!$C$108:$C$112,MATCH('Cash flow forecast'!$B91,Assumptions!$A$108:$A$112,0))/12))*(1+INDEX(Assumptions!$D$108:$D$112,MATCH('Cash flow forecast'!$B91,Assumptions!$A$108:$A$112,0))/12)))</f>
        <v>44.647987511601002</v>
      </c>
      <c r="Q91" s="162">
        <f>IF(Q$5&lt;Assumptions!$B$106,0,IF('Cash flow forecast'!Q$5=Assumptions!$B$106,INDEX(Assumptions!$B$108:$B$112,MATCH('Cash flow forecast'!$B91,Assumptions!$A$108:$A$112,0))*(INDEX(Assumptions!$C$4:$C$46,MATCH("Total Universal",Assumptions!$A$4:$A$46,0))),(P91*(1+INDEX(Assumptions!$C$108:$C$112,MATCH('Cash flow forecast'!$B91,Assumptions!$A$108:$A$112,0))/12))*(1+INDEX(Assumptions!$D$108:$D$112,MATCH('Cash flow forecast'!$B91,Assumptions!$A$108:$A$112,0))/12)))</f>
        <v>44.759297424911168</v>
      </c>
      <c r="R91" s="162">
        <f>IF(R$5&lt;Assumptions!$B$106,0,IF('Cash flow forecast'!R$5=Assumptions!$B$106,INDEX(Assumptions!$B$108:$B$112,MATCH('Cash flow forecast'!$B91,Assumptions!$A$108:$A$112,0))*(INDEX(Assumptions!$C$4:$C$46,MATCH("Total Universal",Assumptions!$A$4:$A$46,0))),(Q91*(1+INDEX(Assumptions!$C$108:$C$112,MATCH('Cash flow forecast'!$B91,Assumptions!$A$108:$A$112,0))/12))*(1+INDEX(Assumptions!$D$108:$D$112,MATCH('Cash flow forecast'!$B91,Assumptions!$A$108:$A$112,0))/12)))</f>
        <v>44.870884840019102</v>
      </c>
      <c r="S91" s="162">
        <f>IF(S$5&lt;Assumptions!$B$106,0,IF('Cash flow forecast'!S$5=Assumptions!$B$106,INDEX(Assumptions!$B$108:$B$112,MATCH('Cash flow forecast'!$B91,Assumptions!$A$108:$A$112,0))*(INDEX(Assumptions!$C$4:$C$46,MATCH("Total Universal",Assumptions!$A$4:$A$46,0))),(R91*(1+INDEX(Assumptions!$C$108:$C$112,MATCH('Cash flow forecast'!$B91,Assumptions!$A$108:$A$112,0))/12))*(1+INDEX(Assumptions!$D$108:$D$112,MATCH('Cash flow forecast'!$B91,Assumptions!$A$108:$A$112,0))/12)))</f>
        <v>44.982750448752199</v>
      </c>
      <c r="T91" s="162">
        <f>IF(T$5&lt;Assumptions!$B$106,0,IF('Cash flow forecast'!T$5=Assumptions!$B$106,INDEX(Assumptions!$B$108:$B$112,MATCH('Cash flow forecast'!$B91,Assumptions!$A$108:$A$112,0))*(INDEX(Assumptions!$C$4:$C$46,MATCH("Total Universal",Assumptions!$A$4:$A$46,0))),(S91*(1+INDEX(Assumptions!$C$108:$C$112,MATCH('Cash flow forecast'!$B91,Assumptions!$A$108:$A$112,0))/12))*(1+INDEX(Assumptions!$D$108:$D$112,MATCH('Cash flow forecast'!$B91,Assumptions!$A$108:$A$112,0))/12)))</f>
        <v>45.094894944662627</v>
      </c>
      <c r="U91" s="162">
        <f>IF(U$5&lt;Assumptions!$B$106,0,IF('Cash flow forecast'!U$5=Assumptions!$B$106,INDEX(Assumptions!$B$108:$B$112,MATCH('Cash flow forecast'!$B91,Assumptions!$A$108:$A$112,0))*(INDEX(Assumptions!$C$4:$C$46,MATCH("Total Universal",Assumptions!$A$4:$A$46,0))),(T91*(1+INDEX(Assumptions!$C$108:$C$112,MATCH('Cash flow forecast'!$B91,Assumptions!$A$108:$A$112,0))/12))*(1+INDEX(Assumptions!$D$108:$D$112,MATCH('Cash flow forecast'!$B91,Assumptions!$A$108:$A$112,0))/12)))</f>
        <v>45.207319023031609</v>
      </c>
      <c r="V91" s="162">
        <f>IF(V$5&lt;Assumptions!$B$106,0,IF('Cash flow forecast'!V$5=Assumptions!$B$106,INDEX(Assumptions!$B$108:$B$112,MATCH('Cash flow forecast'!$B91,Assumptions!$A$108:$A$112,0))*(INDEX(Assumptions!$C$4:$C$46,MATCH("Total Universal",Assumptions!$A$4:$A$46,0))),(U91*(1+INDEX(Assumptions!$C$108:$C$112,MATCH('Cash flow forecast'!$B91,Assumptions!$A$108:$A$112,0))/12))*(1+INDEX(Assumptions!$D$108:$D$112,MATCH('Cash flow forecast'!$B91,Assumptions!$A$108:$A$112,0))/12)))</f>
        <v>45.320023380873749</v>
      </c>
      <c r="W91" s="162">
        <f>IF(W$5&lt;Assumptions!$B$106,0,IF('Cash flow forecast'!W$5=Assumptions!$B$106,INDEX(Assumptions!$B$108:$B$112,MATCH('Cash flow forecast'!$B91,Assumptions!$A$108:$A$112,0))*(INDEX(Assumptions!$C$4:$C$46,MATCH("Total Universal",Assumptions!$A$4:$A$46,0))),(V91*(1+INDEX(Assumptions!$C$108:$C$112,MATCH('Cash flow forecast'!$B91,Assumptions!$A$108:$A$112,0))/12))*(1+INDEX(Assumptions!$D$108:$D$112,MATCH('Cash flow forecast'!$B91,Assumptions!$A$108:$A$112,0))/12)))</f>
        <v>45.433008716941345</v>
      </c>
      <c r="X91" s="162">
        <f>IF(X$5&lt;Assumptions!$B$106,0,IF('Cash flow forecast'!X$5=Assumptions!$B$106,INDEX(Assumptions!$B$108:$B$112,MATCH('Cash flow forecast'!$B91,Assumptions!$A$108:$A$112,0))*(INDEX(Assumptions!$C$4:$C$46,MATCH("Total Universal",Assumptions!$A$4:$A$46,0))),(W91*(1+INDEX(Assumptions!$C$108:$C$112,MATCH('Cash flow forecast'!$B91,Assumptions!$A$108:$A$112,0))/12))*(1+INDEX(Assumptions!$D$108:$D$112,MATCH('Cash flow forecast'!$B91,Assumptions!$A$108:$A$112,0))/12)))</f>
        <v>45.546275731728713</v>
      </c>
      <c r="Y91" s="162">
        <f>IF(Y$5&lt;Assumptions!$B$106,0,IF('Cash flow forecast'!Y$5=Assumptions!$B$106,INDEX(Assumptions!$B$108:$B$112,MATCH('Cash flow forecast'!$B91,Assumptions!$A$108:$A$112,0))*(INDEX(Assumptions!$C$4:$C$46,MATCH("Total Universal",Assumptions!$A$4:$A$46,0))),(X91*(1+INDEX(Assumptions!$C$108:$C$112,MATCH('Cash flow forecast'!$B91,Assumptions!$A$108:$A$112,0))/12))*(1+INDEX(Assumptions!$D$108:$D$112,MATCH('Cash flow forecast'!$B91,Assumptions!$A$108:$A$112,0))/12)))</f>
        <v>45.659825127476559</v>
      </c>
      <c r="Z91" s="171">
        <f>IF(Z$5&lt;Assumptions!$B$106,0,IF('Cash flow forecast'!Z$5=Assumptions!$B$106,INDEX(Assumptions!$B$108:$B$112,MATCH('Cash flow forecast'!$B91,Assumptions!$A$108:$A$112,0))*(INDEX(Assumptions!$C$4:$C$46,MATCH("Total Universal",Assumptions!$A$4:$A$46,0))),(Y91*(1+INDEX(Assumptions!$C$108:$C$112,MATCH('Cash flow forecast'!$B91,Assumptions!$A$108:$A$112,0))/12))*(1+INDEX(Assumptions!$D$108:$D$112,MATCH('Cash flow forecast'!$B91,Assumptions!$A$108:$A$112,0))/12)))</f>
        <v>45.773657608176308</v>
      </c>
      <c r="AA91" s="161">
        <f t="shared" si="118"/>
        <v>88.741913321627038</v>
      </c>
      <c r="AB91" s="162">
        <f t="shared" si="118"/>
        <v>43.55</v>
      </c>
      <c r="AC91" s="162">
        <f t="shared" si="118"/>
        <v>131.30251880127031</v>
      </c>
      <c r="AD91" s="171">
        <f t="shared" si="118"/>
        <v>132.28700252156889</v>
      </c>
      <c r="AE91" s="154">
        <f t="shared" si="116"/>
        <v>395.8814346444662</v>
      </c>
      <c r="AF91" s="150">
        <f t="shared" si="119"/>
        <v>135.97043714563455</v>
      </c>
      <c r="AG91" s="151">
        <f t="shared" si="117"/>
        <v>134.27816977653129</v>
      </c>
      <c r="AH91" s="151">
        <f t="shared" si="117"/>
        <v>135.28496441644643</v>
      </c>
      <c r="AI91" s="152">
        <f t="shared" si="117"/>
        <v>136.29930782954381</v>
      </c>
      <c r="AJ91" s="155">
        <f t="shared" si="120"/>
        <v>541.83287916815607</v>
      </c>
      <c r="AK91" s="60">
        <f t="shared" si="96"/>
        <v>9.499773189803369E-4</v>
      </c>
      <c r="AL91" s="34"/>
    </row>
    <row r="92" spans="2:38" ht="22.15" customHeight="1" collapsed="1" thickBot="1" x14ac:dyDescent="0.3">
      <c r="B92" s="96" t="s">
        <v>82</v>
      </c>
      <c r="C92" s="172">
        <f>SUM(C87:C91)</f>
        <v>0</v>
      </c>
      <c r="D92" s="173">
        <f>SUM(D87:D91)</f>
        <v>0</v>
      </c>
      <c r="E92" s="173">
        <f t="shared" ref="E92:Z92" si="121">SUM(E87:E91)</f>
        <v>0</v>
      </c>
      <c r="F92" s="173">
        <f t="shared" si="121"/>
        <v>510.6</v>
      </c>
      <c r="G92" s="173">
        <f t="shared" si="121"/>
        <v>512.25294479166666</v>
      </c>
      <c r="H92" s="173">
        <f t="shared" si="121"/>
        <v>513.91253845971494</v>
      </c>
      <c r="I92" s="173">
        <f t="shared" si="121"/>
        <v>515.57881439834</v>
      </c>
      <c r="J92" s="173">
        <f t="shared" si="121"/>
        <v>517.25180619687808</v>
      </c>
      <c r="K92" s="173">
        <f t="shared" si="121"/>
        <v>518.93154764103747</v>
      </c>
      <c r="L92" s="173">
        <f t="shared" si="121"/>
        <v>520.61807271413727</v>
      </c>
      <c r="M92" s="173">
        <f t="shared" si="121"/>
        <v>522.31141559835487</v>
      </c>
      <c r="N92" s="174">
        <f t="shared" si="121"/>
        <v>524.01161067598002</v>
      </c>
      <c r="O92" s="172">
        <f t="shared" si="121"/>
        <v>525.71869253067928</v>
      </c>
      <c r="P92" s="173">
        <f t="shared" si="121"/>
        <v>527.43269594876642</v>
      </c>
      <c r="Q92" s="173">
        <f t="shared" si="121"/>
        <v>529.15365592048317</v>
      </c>
      <c r="R92" s="173">
        <f t="shared" si="121"/>
        <v>530.88160764128645</v>
      </c>
      <c r="S92" s="173">
        <f t="shared" si="121"/>
        <v>532.61658651314565</v>
      </c>
      <c r="T92" s="173">
        <f t="shared" si="121"/>
        <v>534.35862814584721</v>
      </c>
      <c r="U92" s="173">
        <f t="shared" si="121"/>
        <v>536.10776835830825</v>
      </c>
      <c r="V92" s="173">
        <f t="shared" si="121"/>
        <v>537.86404317989854</v>
      </c>
      <c r="W92" s="173">
        <f t="shared" si="121"/>
        <v>539.62748885177109</v>
      </c>
      <c r="X92" s="173">
        <f t="shared" si="121"/>
        <v>541.39814182820203</v>
      </c>
      <c r="Y92" s="173">
        <f t="shared" si="121"/>
        <v>543.17603877793795</v>
      </c>
      <c r="Z92" s="174">
        <f t="shared" si="121"/>
        <v>544.96121658555342</v>
      </c>
      <c r="AA92" s="172">
        <f>SUM(AA87:AA91)</f>
        <v>1046.3230262743348</v>
      </c>
      <c r="AB92" s="173">
        <f t="shared" ref="AB92:AD92" si="122">SUM(AB87:AB91)</f>
        <v>510.6</v>
      </c>
      <c r="AC92" s="173">
        <f t="shared" si="122"/>
        <v>1541.7442976497214</v>
      </c>
      <c r="AD92" s="174">
        <f t="shared" si="122"/>
        <v>1556.8014265520526</v>
      </c>
      <c r="AE92" s="170">
        <f t="shared" si="116"/>
        <v>4655.4687504761096</v>
      </c>
      <c r="AF92" s="172">
        <f>SUM(AF87:AF91)</f>
        <v>1613.8559478941706</v>
      </c>
      <c r="AG92" s="173">
        <f t="shared" ref="AG92:AI92" si="123">SUM(AG87:AG91)</f>
        <v>1587.4679595105358</v>
      </c>
      <c r="AH92" s="173">
        <f t="shared" si="123"/>
        <v>1603.0829830173009</v>
      </c>
      <c r="AI92" s="174">
        <f t="shared" si="123"/>
        <v>1618.8896738598717</v>
      </c>
      <c r="AJ92" s="172">
        <f t="shared" si="120"/>
        <v>6423.296564281879</v>
      </c>
      <c r="AK92" s="61">
        <f t="shared" si="96"/>
        <v>1.1223648414339128E-2</v>
      </c>
      <c r="AL92" s="34"/>
    </row>
    <row r="93" spans="2:38" ht="22.15" customHeight="1" thickTop="1" x14ac:dyDescent="0.25">
      <c r="B93" s="89" t="s">
        <v>80</v>
      </c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241"/>
    </row>
    <row r="94" spans="2:38" ht="22.15" hidden="1" customHeight="1" outlineLevel="1" x14ac:dyDescent="0.25">
      <c r="B94" s="100" t="s">
        <v>27</v>
      </c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241"/>
    </row>
    <row r="95" spans="2:38" ht="22.15" hidden="1" customHeight="1" outlineLevel="1" x14ac:dyDescent="0.25">
      <c r="B95" s="91" t="s">
        <v>25</v>
      </c>
      <c r="C95" s="144">
        <v>0</v>
      </c>
      <c r="D95" s="145">
        <v>0</v>
      </c>
      <c r="E95" s="145">
        <v>0</v>
      </c>
      <c r="F95" s="145">
        <v>0</v>
      </c>
      <c r="G95" s="145">
        <v>0</v>
      </c>
      <c r="H95" s="145">
        <v>0</v>
      </c>
      <c r="I95" s="145">
        <v>0</v>
      </c>
      <c r="J95" s="145">
        <v>0</v>
      </c>
      <c r="K95" s="145">
        <v>0</v>
      </c>
      <c r="L95" s="145">
        <v>0</v>
      </c>
      <c r="M95" s="145">
        <v>0</v>
      </c>
      <c r="N95" s="175">
        <v>0</v>
      </c>
      <c r="O95" s="144">
        <v>0</v>
      </c>
      <c r="P95" s="145">
        <v>0</v>
      </c>
      <c r="Q95" s="145">
        <v>0</v>
      </c>
      <c r="R95" s="145">
        <v>0</v>
      </c>
      <c r="S95" s="145">
        <v>0</v>
      </c>
      <c r="T95" s="145">
        <v>0</v>
      </c>
      <c r="U95" s="145">
        <v>0</v>
      </c>
      <c r="V95" s="145">
        <v>0</v>
      </c>
      <c r="W95" s="145">
        <v>0</v>
      </c>
      <c r="X95" s="145">
        <v>0</v>
      </c>
      <c r="Y95" s="145">
        <v>0</v>
      </c>
      <c r="Z95" s="146">
        <v>0</v>
      </c>
      <c r="AA95" s="147">
        <f>SUMIFS($C95:$N95,$C$6:$N$6,AA$5)</f>
        <v>0</v>
      </c>
      <c r="AB95" s="145">
        <f>SUMIFS($C95:$N95,$C$6:$N$6,AB$5)</f>
        <v>0</v>
      </c>
      <c r="AC95" s="145">
        <f>SUMIFS($C95:$N95,$C$6:$N$6,AC$5)</f>
        <v>0</v>
      </c>
      <c r="AD95" s="146">
        <f>SUMIFS($C95:$N95,$C$6:$N$6,AD$5)</f>
        <v>0</v>
      </c>
      <c r="AE95" s="148">
        <f t="shared" ref="AE95:AE101" si="124">SUM($C95:$N95)</f>
        <v>0</v>
      </c>
      <c r="AF95" s="144">
        <f>SUMIFS($C95:$N95,$C$6:$N$6,AF$5)</f>
        <v>0</v>
      </c>
      <c r="AG95" s="145">
        <f>SUMIFS($C95:$N95,$C$6:$N$6,AG$5)</f>
        <v>0</v>
      </c>
      <c r="AH95" s="145">
        <f>SUMIFS($C95:$N95,$C$6:$N$6,AH$5)</f>
        <v>0</v>
      </c>
      <c r="AI95" s="146">
        <f>SUMIFS($C95:$N95,$C$6:$N$6,AI$5)</f>
        <v>0</v>
      </c>
      <c r="AJ95" s="176">
        <f t="shared" ref="AJ95:AJ97" si="125">SUM($C95:$N95)</f>
        <v>0</v>
      </c>
      <c r="AK95" s="238">
        <f t="shared" si="96"/>
        <v>0</v>
      </c>
    </row>
    <row r="96" spans="2:38" ht="22.15" hidden="1" customHeight="1" outlineLevel="1" x14ac:dyDescent="0.25">
      <c r="B96" s="91" t="s">
        <v>96</v>
      </c>
      <c r="C96" s="195">
        <v>0</v>
      </c>
      <c r="D96" s="196">
        <v>0</v>
      </c>
      <c r="E96" s="196">
        <v>0</v>
      </c>
      <c r="F96" s="196">
        <v>0</v>
      </c>
      <c r="G96" s="196">
        <v>0</v>
      </c>
      <c r="H96" s="196">
        <v>0</v>
      </c>
      <c r="I96" s="196">
        <v>0</v>
      </c>
      <c r="J96" s="196">
        <v>0</v>
      </c>
      <c r="K96" s="196">
        <v>0</v>
      </c>
      <c r="L96" s="196">
        <v>0</v>
      </c>
      <c r="M96" s="196">
        <v>0</v>
      </c>
      <c r="N96" s="197">
        <v>0</v>
      </c>
      <c r="O96" s="195">
        <v>0</v>
      </c>
      <c r="P96" s="196">
        <v>0</v>
      </c>
      <c r="Q96" s="196">
        <v>0</v>
      </c>
      <c r="R96" s="196">
        <v>0</v>
      </c>
      <c r="S96" s="196">
        <v>0</v>
      </c>
      <c r="T96" s="196">
        <v>0</v>
      </c>
      <c r="U96" s="196">
        <v>0</v>
      </c>
      <c r="V96" s="196">
        <v>0</v>
      </c>
      <c r="W96" s="196">
        <v>0</v>
      </c>
      <c r="X96" s="196">
        <v>0</v>
      </c>
      <c r="Y96" s="196">
        <v>0</v>
      </c>
      <c r="Z96" s="198">
        <v>0</v>
      </c>
      <c r="AA96" s="199">
        <f t="shared" ref="AA96:AD97" si="126">SUMIFS($C96:$N96,$C$6:$N$6,AA$5)</f>
        <v>0</v>
      </c>
      <c r="AB96" s="196">
        <f t="shared" si="126"/>
        <v>0</v>
      </c>
      <c r="AC96" s="196">
        <f t="shared" si="126"/>
        <v>0</v>
      </c>
      <c r="AD96" s="198">
        <f t="shared" si="126"/>
        <v>0</v>
      </c>
      <c r="AE96" s="200">
        <f t="shared" si="124"/>
        <v>0</v>
      </c>
      <c r="AF96" s="150">
        <f t="shared" ref="AF96:AI97" si="127">SUMIFS($C96:$N96,$C$6:$N$6,AF$5)</f>
        <v>0</v>
      </c>
      <c r="AG96" s="151">
        <f t="shared" si="127"/>
        <v>0</v>
      </c>
      <c r="AH96" s="151">
        <f t="shared" si="127"/>
        <v>0</v>
      </c>
      <c r="AI96" s="152">
        <f t="shared" si="127"/>
        <v>0</v>
      </c>
      <c r="AJ96" s="177">
        <f t="shared" si="125"/>
        <v>0</v>
      </c>
      <c r="AK96" s="60">
        <f t="shared" si="96"/>
        <v>0</v>
      </c>
    </row>
    <row r="97" spans="2:37" ht="22.15" hidden="1" customHeight="1" outlineLevel="1" x14ac:dyDescent="0.25">
      <c r="B97" s="102" t="s">
        <v>65</v>
      </c>
      <c r="C97" s="202">
        <v>0</v>
      </c>
      <c r="D97" s="203">
        <v>0</v>
      </c>
      <c r="E97" s="203">
        <v>0</v>
      </c>
      <c r="F97" s="203">
        <v>0</v>
      </c>
      <c r="G97" s="203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4">
        <v>0</v>
      </c>
      <c r="O97" s="202">
        <v>0</v>
      </c>
      <c r="P97" s="203">
        <v>0</v>
      </c>
      <c r="Q97" s="203">
        <v>0</v>
      </c>
      <c r="R97" s="203">
        <v>0</v>
      </c>
      <c r="S97" s="203">
        <v>0</v>
      </c>
      <c r="T97" s="203">
        <v>0</v>
      </c>
      <c r="U97" s="203">
        <v>0</v>
      </c>
      <c r="V97" s="203">
        <v>0</v>
      </c>
      <c r="W97" s="203">
        <v>0</v>
      </c>
      <c r="X97" s="203">
        <v>0</v>
      </c>
      <c r="Y97" s="203">
        <v>0</v>
      </c>
      <c r="Z97" s="205">
        <v>0</v>
      </c>
      <c r="AA97" s="206">
        <f t="shared" si="126"/>
        <v>0</v>
      </c>
      <c r="AB97" s="203">
        <f t="shared" si="126"/>
        <v>0</v>
      </c>
      <c r="AC97" s="203">
        <f t="shared" si="126"/>
        <v>0</v>
      </c>
      <c r="AD97" s="205">
        <f t="shared" si="126"/>
        <v>0</v>
      </c>
      <c r="AE97" s="207">
        <f t="shared" si="124"/>
        <v>0</v>
      </c>
      <c r="AF97" s="208">
        <f t="shared" si="127"/>
        <v>0</v>
      </c>
      <c r="AG97" s="209">
        <f t="shared" si="127"/>
        <v>0</v>
      </c>
      <c r="AH97" s="209">
        <f t="shared" si="127"/>
        <v>0</v>
      </c>
      <c r="AI97" s="210">
        <f t="shared" si="127"/>
        <v>0</v>
      </c>
      <c r="AJ97" s="211">
        <f t="shared" si="125"/>
        <v>0</v>
      </c>
      <c r="AK97" s="60">
        <f t="shared" si="96"/>
        <v>0</v>
      </c>
    </row>
    <row r="98" spans="2:37" ht="22.15" hidden="1" customHeight="1" outlineLevel="1" x14ac:dyDescent="0.25">
      <c r="B98" s="109" t="s">
        <v>83</v>
      </c>
      <c r="C98" s="178">
        <f>C96+C95</f>
        <v>0</v>
      </c>
      <c r="D98" s="179">
        <f t="shared" ref="D98:AJ98" si="128">D96+D95</f>
        <v>0</v>
      </c>
      <c r="E98" s="179">
        <f t="shared" si="128"/>
        <v>0</v>
      </c>
      <c r="F98" s="179">
        <f t="shared" si="128"/>
        <v>0</v>
      </c>
      <c r="G98" s="179">
        <f t="shared" si="128"/>
        <v>0</v>
      </c>
      <c r="H98" s="179">
        <f t="shared" si="128"/>
        <v>0</v>
      </c>
      <c r="I98" s="179">
        <f t="shared" si="128"/>
        <v>0</v>
      </c>
      <c r="J98" s="179">
        <f t="shared" si="128"/>
        <v>0</v>
      </c>
      <c r="K98" s="179">
        <f t="shared" si="128"/>
        <v>0</v>
      </c>
      <c r="L98" s="179">
        <f t="shared" si="128"/>
        <v>0</v>
      </c>
      <c r="M98" s="179">
        <f t="shared" si="128"/>
        <v>0</v>
      </c>
      <c r="N98" s="180">
        <f t="shared" si="128"/>
        <v>0</v>
      </c>
      <c r="O98" s="178">
        <f t="shared" si="128"/>
        <v>0</v>
      </c>
      <c r="P98" s="179">
        <f t="shared" si="128"/>
        <v>0</v>
      </c>
      <c r="Q98" s="179">
        <f t="shared" si="128"/>
        <v>0</v>
      </c>
      <c r="R98" s="179">
        <f t="shared" si="128"/>
        <v>0</v>
      </c>
      <c r="S98" s="179">
        <f t="shared" si="128"/>
        <v>0</v>
      </c>
      <c r="T98" s="179">
        <f t="shared" si="128"/>
        <v>0</v>
      </c>
      <c r="U98" s="179">
        <f t="shared" si="128"/>
        <v>0</v>
      </c>
      <c r="V98" s="179">
        <f t="shared" si="128"/>
        <v>0</v>
      </c>
      <c r="W98" s="179">
        <f t="shared" si="128"/>
        <v>0</v>
      </c>
      <c r="X98" s="179">
        <f t="shared" si="128"/>
        <v>0</v>
      </c>
      <c r="Y98" s="179">
        <f t="shared" si="128"/>
        <v>0</v>
      </c>
      <c r="Z98" s="181">
        <f t="shared" si="128"/>
        <v>0</v>
      </c>
      <c r="AA98" s="182">
        <f t="shared" si="128"/>
        <v>0</v>
      </c>
      <c r="AB98" s="179">
        <f t="shared" si="128"/>
        <v>0</v>
      </c>
      <c r="AC98" s="179">
        <f t="shared" si="128"/>
        <v>0</v>
      </c>
      <c r="AD98" s="181">
        <f t="shared" si="128"/>
        <v>0</v>
      </c>
      <c r="AE98" s="159">
        <f t="shared" si="128"/>
        <v>0</v>
      </c>
      <c r="AF98" s="178">
        <f t="shared" si="128"/>
        <v>0</v>
      </c>
      <c r="AG98" s="179">
        <f t="shared" si="128"/>
        <v>0</v>
      </c>
      <c r="AH98" s="179">
        <f t="shared" si="128"/>
        <v>0</v>
      </c>
      <c r="AI98" s="181">
        <f t="shared" si="128"/>
        <v>0</v>
      </c>
      <c r="AJ98" s="156">
        <f t="shared" si="128"/>
        <v>0</v>
      </c>
      <c r="AK98" s="61">
        <f t="shared" si="96"/>
        <v>0</v>
      </c>
    </row>
    <row r="99" spans="2:37" ht="22.15" hidden="1" customHeight="1" outlineLevel="1" x14ac:dyDescent="0.25">
      <c r="B99" s="100" t="s">
        <v>28</v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241"/>
    </row>
    <row r="100" spans="2:37" ht="22.15" hidden="1" customHeight="1" outlineLevel="1" x14ac:dyDescent="0.25">
      <c r="B100" s="91" t="s">
        <v>96</v>
      </c>
      <c r="C100" s="144">
        <v>0</v>
      </c>
      <c r="D100" s="145">
        <v>0</v>
      </c>
      <c r="E100" s="145">
        <v>0</v>
      </c>
      <c r="F100" s="145">
        <v>0</v>
      </c>
      <c r="G100" s="145">
        <v>0</v>
      </c>
      <c r="H100" s="145">
        <v>0</v>
      </c>
      <c r="I100" s="145">
        <v>0</v>
      </c>
      <c r="J100" s="145">
        <v>0</v>
      </c>
      <c r="K100" s="145">
        <v>0</v>
      </c>
      <c r="L100" s="145">
        <v>0</v>
      </c>
      <c r="M100" s="145">
        <v>0</v>
      </c>
      <c r="N100" s="146">
        <v>0</v>
      </c>
      <c r="O100" s="144">
        <v>0</v>
      </c>
      <c r="P100" s="145">
        <v>0</v>
      </c>
      <c r="Q100" s="145">
        <v>0</v>
      </c>
      <c r="R100" s="145">
        <v>0</v>
      </c>
      <c r="S100" s="145">
        <v>0</v>
      </c>
      <c r="T100" s="145">
        <v>0</v>
      </c>
      <c r="U100" s="145">
        <v>0</v>
      </c>
      <c r="V100" s="145">
        <v>0</v>
      </c>
      <c r="W100" s="145">
        <v>0</v>
      </c>
      <c r="X100" s="145">
        <v>0</v>
      </c>
      <c r="Y100" s="145">
        <v>0</v>
      </c>
      <c r="Z100" s="146">
        <v>0</v>
      </c>
      <c r="AA100" s="184">
        <f t="shared" ref="AA100:AD101" si="129">SUMIFS($C100:$N100,$C$6:$N$6,AA$5)</f>
        <v>0</v>
      </c>
      <c r="AB100" s="185">
        <f t="shared" si="129"/>
        <v>0</v>
      </c>
      <c r="AC100" s="185">
        <f t="shared" si="129"/>
        <v>0</v>
      </c>
      <c r="AD100" s="186">
        <f t="shared" si="129"/>
        <v>0</v>
      </c>
      <c r="AE100" s="187">
        <f t="shared" si="124"/>
        <v>0</v>
      </c>
      <c r="AF100" s="144">
        <f t="shared" ref="AF100:AI101" si="130">SUMIFS($C100:$N100,$C$6:$N$6,AF$5)</f>
        <v>0</v>
      </c>
      <c r="AG100" s="145">
        <f t="shared" si="130"/>
        <v>0</v>
      </c>
      <c r="AH100" s="145">
        <f t="shared" si="130"/>
        <v>0</v>
      </c>
      <c r="AI100" s="146">
        <f t="shared" si="130"/>
        <v>0</v>
      </c>
      <c r="AJ100" s="176">
        <f t="shared" ref="AJ100:AJ101" si="131">SUM($C100:$N100)</f>
        <v>0</v>
      </c>
      <c r="AK100" s="238">
        <f t="shared" si="96"/>
        <v>0</v>
      </c>
    </row>
    <row r="101" spans="2:37" ht="22.15" hidden="1" customHeight="1" outlineLevel="1" x14ac:dyDescent="0.25">
      <c r="B101" s="102" t="s">
        <v>65</v>
      </c>
      <c r="C101" s="202">
        <v>0</v>
      </c>
      <c r="D101" s="203">
        <v>0</v>
      </c>
      <c r="E101" s="203">
        <v>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5">
        <v>0</v>
      </c>
      <c r="O101" s="202">
        <v>0</v>
      </c>
      <c r="P101" s="203">
        <v>0</v>
      </c>
      <c r="Q101" s="203">
        <v>0</v>
      </c>
      <c r="R101" s="203">
        <v>0</v>
      </c>
      <c r="S101" s="203">
        <v>0</v>
      </c>
      <c r="T101" s="203">
        <v>0</v>
      </c>
      <c r="U101" s="203">
        <v>0</v>
      </c>
      <c r="V101" s="203">
        <v>0</v>
      </c>
      <c r="W101" s="203">
        <v>0</v>
      </c>
      <c r="X101" s="203">
        <v>0</v>
      </c>
      <c r="Y101" s="203">
        <v>0</v>
      </c>
      <c r="Z101" s="205">
        <v>0</v>
      </c>
      <c r="AA101" s="206">
        <f t="shared" si="129"/>
        <v>0</v>
      </c>
      <c r="AB101" s="203">
        <f t="shared" si="129"/>
        <v>0</v>
      </c>
      <c r="AC101" s="203">
        <f t="shared" si="129"/>
        <v>0</v>
      </c>
      <c r="AD101" s="205">
        <f t="shared" si="129"/>
        <v>0</v>
      </c>
      <c r="AE101" s="207">
        <f t="shared" si="124"/>
        <v>0</v>
      </c>
      <c r="AF101" s="208">
        <f t="shared" si="130"/>
        <v>0</v>
      </c>
      <c r="AG101" s="209">
        <f t="shared" si="130"/>
        <v>0</v>
      </c>
      <c r="AH101" s="209">
        <f t="shared" si="130"/>
        <v>0</v>
      </c>
      <c r="AI101" s="210">
        <f t="shared" si="130"/>
        <v>0</v>
      </c>
      <c r="AJ101" s="211">
        <f t="shared" si="131"/>
        <v>0</v>
      </c>
      <c r="AK101" s="60">
        <f t="shared" si="96"/>
        <v>0</v>
      </c>
    </row>
    <row r="102" spans="2:37" ht="22.15" hidden="1" customHeight="1" outlineLevel="1" x14ac:dyDescent="0.25">
      <c r="B102" s="91" t="s">
        <v>95</v>
      </c>
      <c r="C102" s="178">
        <f>C100</f>
        <v>0</v>
      </c>
      <c r="D102" s="179">
        <f t="shared" ref="D102:Z102" si="132">D100</f>
        <v>0</v>
      </c>
      <c r="E102" s="179">
        <f t="shared" si="132"/>
        <v>0</v>
      </c>
      <c r="F102" s="179">
        <f t="shared" si="132"/>
        <v>0</v>
      </c>
      <c r="G102" s="179">
        <f t="shared" si="132"/>
        <v>0</v>
      </c>
      <c r="H102" s="179">
        <f t="shared" si="132"/>
        <v>0</v>
      </c>
      <c r="I102" s="179">
        <f t="shared" si="132"/>
        <v>0</v>
      </c>
      <c r="J102" s="179">
        <f t="shared" si="132"/>
        <v>0</v>
      </c>
      <c r="K102" s="179">
        <f t="shared" si="132"/>
        <v>0</v>
      </c>
      <c r="L102" s="179">
        <f t="shared" si="132"/>
        <v>0</v>
      </c>
      <c r="M102" s="179">
        <f t="shared" si="132"/>
        <v>0</v>
      </c>
      <c r="N102" s="181">
        <f t="shared" si="132"/>
        <v>0</v>
      </c>
      <c r="O102" s="178">
        <f t="shared" si="132"/>
        <v>0</v>
      </c>
      <c r="P102" s="179">
        <f t="shared" si="132"/>
        <v>0</v>
      </c>
      <c r="Q102" s="179">
        <f t="shared" si="132"/>
        <v>0</v>
      </c>
      <c r="R102" s="179">
        <f t="shared" si="132"/>
        <v>0</v>
      </c>
      <c r="S102" s="179">
        <f t="shared" si="132"/>
        <v>0</v>
      </c>
      <c r="T102" s="179">
        <f t="shared" si="132"/>
        <v>0</v>
      </c>
      <c r="U102" s="179">
        <f t="shared" si="132"/>
        <v>0</v>
      </c>
      <c r="V102" s="179">
        <f t="shared" si="132"/>
        <v>0</v>
      </c>
      <c r="W102" s="179">
        <f t="shared" si="132"/>
        <v>0</v>
      </c>
      <c r="X102" s="179">
        <f t="shared" si="132"/>
        <v>0</v>
      </c>
      <c r="Y102" s="179">
        <f t="shared" si="132"/>
        <v>0</v>
      </c>
      <c r="Z102" s="181">
        <f t="shared" si="132"/>
        <v>0</v>
      </c>
      <c r="AA102" s="182">
        <f t="shared" ref="AA102:AJ102" si="133">AA100+AA99</f>
        <v>0</v>
      </c>
      <c r="AB102" s="179">
        <f t="shared" si="133"/>
        <v>0</v>
      </c>
      <c r="AC102" s="179">
        <f t="shared" si="133"/>
        <v>0</v>
      </c>
      <c r="AD102" s="181">
        <f t="shared" si="133"/>
        <v>0</v>
      </c>
      <c r="AE102" s="159">
        <f t="shared" si="133"/>
        <v>0</v>
      </c>
      <c r="AF102" s="178">
        <f t="shared" si="133"/>
        <v>0</v>
      </c>
      <c r="AG102" s="179">
        <f t="shared" si="133"/>
        <v>0</v>
      </c>
      <c r="AH102" s="179">
        <f t="shared" si="133"/>
        <v>0</v>
      </c>
      <c r="AI102" s="181">
        <f t="shared" si="133"/>
        <v>0</v>
      </c>
      <c r="AJ102" s="156">
        <f t="shared" si="133"/>
        <v>0</v>
      </c>
      <c r="AK102" s="61">
        <f t="shared" si="96"/>
        <v>0</v>
      </c>
    </row>
    <row r="103" spans="2:37" ht="22.15" hidden="1" customHeight="1" outlineLevel="1" x14ac:dyDescent="0.25"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241"/>
    </row>
    <row r="104" spans="2:37" ht="22.15" customHeight="1" collapsed="1" thickBot="1" x14ac:dyDescent="0.3">
      <c r="B104" s="96" t="s">
        <v>84</v>
      </c>
      <c r="C104" s="167">
        <f>SUM(C102,C98)</f>
        <v>0</v>
      </c>
      <c r="D104" s="168">
        <f t="shared" ref="D104:AJ104" si="134">SUM(D102,D98)</f>
        <v>0</v>
      </c>
      <c r="E104" s="168">
        <f t="shared" si="134"/>
        <v>0</v>
      </c>
      <c r="F104" s="168">
        <f t="shared" si="134"/>
        <v>0</v>
      </c>
      <c r="G104" s="168">
        <f t="shared" si="134"/>
        <v>0</v>
      </c>
      <c r="H104" s="168">
        <f t="shared" si="134"/>
        <v>0</v>
      </c>
      <c r="I104" s="168">
        <f t="shared" si="134"/>
        <v>0</v>
      </c>
      <c r="J104" s="168">
        <f t="shared" si="134"/>
        <v>0</v>
      </c>
      <c r="K104" s="168">
        <f t="shared" si="134"/>
        <v>0</v>
      </c>
      <c r="L104" s="168">
        <f t="shared" si="134"/>
        <v>0</v>
      </c>
      <c r="M104" s="168">
        <f t="shared" si="134"/>
        <v>0</v>
      </c>
      <c r="N104" s="169">
        <f t="shared" si="134"/>
        <v>0</v>
      </c>
      <c r="O104" s="188">
        <f t="shared" si="134"/>
        <v>0</v>
      </c>
      <c r="P104" s="168">
        <f t="shared" si="134"/>
        <v>0</v>
      </c>
      <c r="Q104" s="168">
        <f t="shared" si="134"/>
        <v>0</v>
      </c>
      <c r="R104" s="168">
        <f t="shared" si="134"/>
        <v>0</v>
      </c>
      <c r="S104" s="168">
        <f t="shared" si="134"/>
        <v>0</v>
      </c>
      <c r="T104" s="168">
        <f t="shared" si="134"/>
        <v>0</v>
      </c>
      <c r="U104" s="168">
        <f t="shared" si="134"/>
        <v>0</v>
      </c>
      <c r="V104" s="168">
        <f t="shared" si="134"/>
        <v>0</v>
      </c>
      <c r="W104" s="168">
        <f t="shared" si="134"/>
        <v>0</v>
      </c>
      <c r="X104" s="168">
        <f t="shared" si="134"/>
        <v>0</v>
      </c>
      <c r="Y104" s="168">
        <f t="shared" si="134"/>
        <v>0</v>
      </c>
      <c r="Z104" s="201">
        <f t="shared" si="134"/>
        <v>0</v>
      </c>
      <c r="AA104" s="167">
        <f t="shared" si="134"/>
        <v>0</v>
      </c>
      <c r="AB104" s="168">
        <f t="shared" si="134"/>
        <v>0</v>
      </c>
      <c r="AC104" s="168">
        <f t="shared" si="134"/>
        <v>0</v>
      </c>
      <c r="AD104" s="169">
        <f t="shared" si="134"/>
        <v>0</v>
      </c>
      <c r="AE104" s="188">
        <f t="shared" si="134"/>
        <v>0</v>
      </c>
      <c r="AF104" s="167">
        <f t="shared" si="134"/>
        <v>0</v>
      </c>
      <c r="AG104" s="168">
        <f t="shared" si="134"/>
        <v>0</v>
      </c>
      <c r="AH104" s="168">
        <f t="shared" si="134"/>
        <v>0</v>
      </c>
      <c r="AI104" s="169">
        <f t="shared" si="134"/>
        <v>0</v>
      </c>
      <c r="AJ104" s="172">
        <f t="shared" si="134"/>
        <v>0</v>
      </c>
      <c r="AK104" s="61">
        <f t="shared" si="96"/>
        <v>0</v>
      </c>
    </row>
    <row r="105" spans="2:37" ht="22.15" customHeight="1" thickTop="1" x14ac:dyDescent="0.25"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241"/>
    </row>
    <row r="106" spans="2:37" ht="22.15" customHeight="1" thickBot="1" x14ac:dyDescent="0.3">
      <c r="B106" s="115" t="s">
        <v>85</v>
      </c>
      <c r="C106" s="117">
        <f t="shared" ref="C106:AJ106" si="135">C85+C92+C104</f>
        <v>136641.75</v>
      </c>
      <c r="D106" s="118">
        <f t="shared" si="135"/>
        <v>0</v>
      </c>
      <c r="E106" s="118">
        <f t="shared" si="135"/>
        <v>78081</v>
      </c>
      <c r="F106" s="118">
        <f t="shared" si="135"/>
        <v>510.6</v>
      </c>
      <c r="G106" s="118">
        <f t="shared" si="135"/>
        <v>512.25294479166666</v>
      </c>
      <c r="H106" s="118">
        <f t="shared" si="135"/>
        <v>513.91253845971494</v>
      </c>
      <c r="I106" s="118">
        <f t="shared" si="135"/>
        <v>137157.32881439835</v>
      </c>
      <c r="J106" s="118">
        <f t="shared" si="135"/>
        <v>517.25180619687808</v>
      </c>
      <c r="K106" s="118">
        <f t="shared" si="135"/>
        <v>78599.931547641041</v>
      </c>
      <c r="L106" s="118">
        <f t="shared" si="135"/>
        <v>520.61807271413727</v>
      </c>
      <c r="M106" s="118">
        <f t="shared" si="135"/>
        <v>522.31141559835487</v>
      </c>
      <c r="N106" s="119">
        <f t="shared" si="135"/>
        <v>524.01161067598002</v>
      </c>
      <c r="O106" s="117">
        <f t="shared" si="135"/>
        <v>137167.46869253067</v>
      </c>
      <c r="P106" s="118">
        <f t="shared" si="135"/>
        <v>527.43269594876642</v>
      </c>
      <c r="Q106" s="118">
        <f t="shared" si="135"/>
        <v>78610.153655920483</v>
      </c>
      <c r="R106" s="118">
        <f t="shared" si="135"/>
        <v>530.88160764128645</v>
      </c>
      <c r="S106" s="118">
        <f t="shared" si="135"/>
        <v>532.61658651314565</v>
      </c>
      <c r="T106" s="118">
        <f t="shared" si="135"/>
        <v>534.35862814584721</v>
      </c>
      <c r="U106" s="118">
        <f t="shared" si="135"/>
        <v>137177.85776835831</v>
      </c>
      <c r="V106" s="118">
        <f t="shared" si="135"/>
        <v>537.86404317989854</v>
      </c>
      <c r="W106" s="118">
        <f t="shared" si="135"/>
        <v>78620.627488851766</v>
      </c>
      <c r="X106" s="118">
        <f t="shared" si="135"/>
        <v>117662.89814182821</v>
      </c>
      <c r="Y106" s="118">
        <f t="shared" si="135"/>
        <v>543.17603877793795</v>
      </c>
      <c r="Z106" s="119">
        <f t="shared" si="135"/>
        <v>544.96121658555342</v>
      </c>
      <c r="AA106" s="117">
        <f t="shared" si="135"/>
        <v>137688.07302627433</v>
      </c>
      <c r="AB106" s="118">
        <f t="shared" si="135"/>
        <v>78591.600000000006</v>
      </c>
      <c r="AC106" s="118">
        <f t="shared" si="135"/>
        <v>138183.49429764971</v>
      </c>
      <c r="AD106" s="119">
        <f t="shared" si="135"/>
        <v>79637.801426552047</v>
      </c>
      <c r="AE106" s="120">
        <f t="shared" si="135"/>
        <v>434100.96875047614</v>
      </c>
      <c r="AF106" s="117">
        <f t="shared" si="135"/>
        <v>138255.60594789416</v>
      </c>
      <c r="AG106" s="118">
        <f t="shared" si="135"/>
        <v>79668.467959510541</v>
      </c>
      <c r="AH106" s="118">
        <f t="shared" si="135"/>
        <v>138244.83298301729</v>
      </c>
      <c r="AI106" s="121">
        <f t="shared" si="135"/>
        <v>196821.38967385987</v>
      </c>
      <c r="AJ106" s="120">
        <f t="shared" si="135"/>
        <v>552990.29656428192</v>
      </c>
      <c r="AK106" s="241"/>
    </row>
    <row r="107" spans="2:37" ht="22.15" customHeight="1" thickTop="1" x14ac:dyDescent="0.25"/>
    <row r="108" spans="2:37" ht="22.15" customHeight="1" thickTop="1" x14ac:dyDescent="0.25">
      <c r="B108" s="143" t="s">
        <v>81</v>
      </c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</row>
    <row r="110" spans="2:37" ht="22.15" customHeight="1" x14ac:dyDescent="0.25">
      <c r="B110" s="89" t="s">
        <v>86</v>
      </c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6" t="s">
        <v>133</v>
      </c>
    </row>
    <row r="111" spans="2:37" ht="22.15" hidden="1" customHeight="1" outlineLevel="1" x14ac:dyDescent="0.25">
      <c r="B111" s="90" t="s">
        <v>31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spans="2:37" ht="22.15" hidden="1" customHeight="1" outlineLevel="1" x14ac:dyDescent="0.25">
      <c r="B112" s="91" t="s">
        <v>45</v>
      </c>
      <c r="C112" s="144">
        <f t="shared" ref="C112:AJ112" si="136">C12-C64</f>
        <v>3425.625</v>
      </c>
      <c r="D112" s="145">
        <f t="shared" si="136"/>
        <v>0</v>
      </c>
      <c r="E112" s="145">
        <f t="shared" si="136"/>
        <v>959.17500000000018</v>
      </c>
      <c r="F112" s="145">
        <f t="shared" si="136"/>
        <v>0</v>
      </c>
      <c r="G112" s="145">
        <f t="shared" si="136"/>
        <v>0</v>
      </c>
      <c r="H112" s="145">
        <f t="shared" si="136"/>
        <v>0</v>
      </c>
      <c r="I112" s="145">
        <f t="shared" si="136"/>
        <v>2397.9375</v>
      </c>
      <c r="J112" s="145">
        <f t="shared" si="136"/>
        <v>0</v>
      </c>
      <c r="K112" s="145">
        <f t="shared" si="136"/>
        <v>959.17500000000018</v>
      </c>
      <c r="L112" s="145">
        <f t="shared" si="136"/>
        <v>0</v>
      </c>
      <c r="M112" s="145">
        <f t="shared" si="136"/>
        <v>0</v>
      </c>
      <c r="N112" s="146">
        <f t="shared" si="136"/>
        <v>0</v>
      </c>
      <c r="O112" s="147">
        <f t="shared" si="136"/>
        <v>2397.9375</v>
      </c>
      <c r="P112" s="145">
        <f t="shared" si="136"/>
        <v>0</v>
      </c>
      <c r="Q112" s="145">
        <f t="shared" si="136"/>
        <v>959.17500000000018</v>
      </c>
      <c r="R112" s="145">
        <f t="shared" si="136"/>
        <v>0</v>
      </c>
      <c r="S112" s="145">
        <f t="shared" si="136"/>
        <v>0</v>
      </c>
      <c r="T112" s="145">
        <f t="shared" si="136"/>
        <v>0</v>
      </c>
      <c r="U112" s="145">
        <f t="shared" si="136"/>
        <v>2397.9375</v>
      </c>
      <c r="V112" s="145">
        <f t="shared" si="136"/>
        <v>0</v>
      </c>
      <c r="W112" s="145">
        <f t="shared" si="136"/>
        <v>959.17500000000018</v>
      </c>
      <c r="X112" s="145">
        <f t="shared" si="136"/>
        <v>2397.9375</v>
      </c>
      <c r="Y112" s="145">
        <f t="shared" si="136"/>
        <v>0</v>
      </c>
      <c r="Z112" s="146">
        <f t="shared" si="136"/>
        <v>0</v>
      </c>
      <c r="AA112" s="144">
        <f t="shared" si="136"/>
        <v>3425.625</v>
      </c>
      <c r="AB112" s="145">
        <f t="shared" si="136"/>
        <v>959.17500000000018</v>
      </c>
      <c r="AC112" s="145">
        <f t="shared" si="136"/>
        <v>2397.9375</v>
      </c>
      <c r="AD112" s="146">
        <f t="shared" si="136"/>
        <v>959.17500000000018</v>
      </c>
      <c r="AE112" s="148">
        <f t="shared" si="136"/>
        <v>7741.9124999999985</v>
      </c>
      <c r="AF112" s="144">
        <f t="shared" si="136"/>
        <v>2397.9375</v>
      </c>
      <c r="AG112" s="145">
        <f t="shared" si="136"/>
        <v>959.17500000000018</v>
      </c>
      <c r="AH112" s="145">
        <f t="shared" si="136"/>
        <v>2397.9375</v>
      </c>
      <c r="AI112" s="146">
        <f t="shared" si="136"/>
        <v>3357.1124999999993</v>
      </c>
      <c r="AJ112" s="149">
        <f t="shared" si="136"/>
        <v>9112.1624999999985</v>
      </c>
      <c r="AK112" s="238">
        <f t="shared" ref="AK112:AK154" si="137">AVERAGE(AE112,AJ112)/AVERAGE($AE$58,$AJ$58)</f>
        <v>1.2200951557191525E-2</v>
      </c>
    </row>
    <row r="113" spans="2:37" ht="22.15" hidden="1" customHeight="1" outlineLevel="1" x14ac:dyDescent="0.25">
      <c r="B113" s="91" t="s">
        <v>46</v>
      </c>
      <c r="C113" s="150">
        <f t="shared" ref="C113:AJ113" si="138">C13-C65</f>
        <v>0</v>
      </c>
      <c r="D113" s="151">
        <f t="shared" si="138"/>
        <v>0</v>
      </c>
      <c r="E113" s="151">
        <f t="shared" si="138"/>
        <v>0</v>
      </c>
      <c r="F113" s="151">
        <f t="shared" si="138"/>
        <v>0</v>
      </c>
      <c r="G113" s="151">
        <f t="shared" si="138"/>
        <v>0</v>
      </c>
      <c r="H113" s="151">
        <f t="shared" si="138"/>
        <v>0</v>
      </c>
      <c r="I113" s="151">
        <f t="shared" si="138"/>
        <v>0</v>
      </c>
      <c r="J113" s="151">
        <f t="shared" si="138"/>
        <v>0</v>
      </c>
      <c r="K113" s="151">
        <f t="shared" si="138"/>
        <v>0</v>
      </c>
      <c r="L113" s="151">
        <f t="shared" si="138"/>
        <v>0</v>
      </c>
      <c r="M113" s="151">
        <f t="shared" si="138"/>
        <v>0</v>
      </c>
      <c r="N113" s="152">
        <f t="shared" si="138"/>
        <v>0</v>
      </c>
      <c r="O113" s="153">
        <f t="shared" si="138"/>
        <v>0</v>
      </c>
      <c r="P113" s="151">
        <f t="shared" si="138"/>
        <v>0</v>
      </c>
      <c r="Q113" s="151">
        <f t="shared" si="138"/>
        <v>0</v>
      </c>
      <c r="R113" s="151">
        <f t="shared" si="138"/>
        <v>0</v>
      </c>
      <c r="S113" s="151">
        <f t="shared" si="138"/>
        <v>0</v>
      </c>
      <c r="T113" s="151">
        <f t="shared" si="138"/>
        <v>0</v>
      </c>
      <c r="U113" s="151">
        <f t="shared" si="138"/>
        <v>0</v>
      </c>
      <c r="V113" s="151">
        <f t="shared" si="138"/>
        <v>0</v>
      </c>
      <c r="W113" s="151">
        <f t="shared" si="138"/>
        <v>0</v>
      </c>
      <c r="X113" s="151">
        <f t="shared" si="138"/>
        <v>0</v>
      </c>
      <c r="Y113" s="151">
        <f t="shared" si="138"/>
        <v>0</v>
      </c>
      <c r="Z113" s="152">
        <f t="shared" si="138"/>
        <v>0</v>
      </c>
      <c r="AA113" s="150">
        <f t="shared" si="138"/>
        <v>0</v>
      </c>
      <c r="AB113" s="151">
        <f t="shared" si="138"/>
        <v>0</v>
      </c>
      <c r="AC113" s="151">
        <f t="shared" si="138"/>
        <v>0</v>
      </c>
      <c r="AD113" s="152">
        <f t="shared" si="138"/>
        <v>0</v>
      </c>
      <c r="AE113" s="154">
        <f t="shared" si="138"/>
        <v>0</v>
      </c>
      <c r="AF113" s="150">
        <f t="shared" si="138"/>
        <v>0</v>
      </c>
      <c r="AG113" s="151">
        <f t="shared" si="138"/>
        <v>0</v>
      </c>
      <c r="AH113" s="151">
        <f t="shared" si="138"/>
        <v>0</v>
      </c>
      <c r="AI113" s="152">
        <f t="shared" si="138"/>
        <v>0</v>
      </c>
      <c r="AJ113" s="155">
        <f t="shared" si="138"/>
        <v>0</v>
      </c>
      <c r="AK113" s="60">
        <f t="shared" si="137"/>
        <v>0</v>
      </c>
    </row>
    <row r="114" spans="2:37" ht="22.15" hidden="1" customHeight="1" outlineLevel="1" x14ac:dyDescent="0.25">
      <c r="B114" s="91" t="s">
        <v>47</v>
      </c>
      <c r="C114" s="150">
        <f t="shared" ref="C114:AJ114" si="139">C14-C66</f>
        <v>39000</v>
      </c>
      <c r="D114" s="151">
        <f t="shared" si="139"/>
        <v>0</v>
      </c>
      <c r="E114" s="151">
        <f t="shared" si="139"/>
        <v>10920</v>
      </c>
      <c r="F114" s="151">
        <f t="shared" si="139"/>
        <v>0</v>
      </c>
      <c r="G114" s="151">
        <f t="shared" si="139"/>
        <v>0</v>
      </c>
      <c r="H114" s="151">
        <f t="shared" si="139"/>
        <v>0</v>
      </c>
      <c r="I114" s="151">
        <f t="shared" si="139"/>
        <v>27300</v>
      </c>
      <c r="J114" s="151">
        <f t="shared" si="139"/>
        <v>0</v>
      </c>
      <c r="K114" s="151">
        <f t="shared" si="139"/>
        <v>10920</v>
      </c>
      <c r="L114" s="151">
        <f t="shared" si="139"/>
        <v>0</v>
      </c>
      <c r="M114" s="151">
        <f t="shared" si="139"/>
        <v>0</v>
      </c>
      <c r="N114" s="152">
        <f t="shared" si="139"/>
        <v>0</v>
      </c>
      <c r="O114" s="153">
        <f t="shared" si="139"/>
        <v>27300</v>
      </c>
      <c r="P114" s="151">
        <f t="shared" si="139"/>
        <v>0</v>
      </c>
      <c r="Q114" s="151">
        <f t="shared" si="139"/>
        <v>10920</v>
      </c>
      <c r="R114" s="151">
        <f t="shared" si="139"/>
        <v>0</v>
      </c>
      <c r="S114" s="151">
        <f t="shared" si="139"/>
        <v>0</v>
      </c>
      <c r="T114" s="151">
        <f t="shared" si="139"/>
        <v>0</v>
      </c>
      <c r="U114" s="151">
        <f t="shared" si="139"/>
        <v>27300</v>
      </c>
      <c r="V114" s="151">
        <f t="shared" si="139"/>
        <v>0</v>
      </c>
      <c r="W114" s="151">
        <f t="shared" si="139"/>
        <v>10920</v>
      </c>
      <c r="X114" s="151">
        <f t="shared" si="139"/>
        <v>27300</v>
      </c>
      <c r="Y114" s="151">
        <f t="shared" si="139"/>
        <v>0</v>
      </c>
      <c r="Z114" s="152">
        <f t="shared" si="139"/>
        <v>0</v>
      </c>
      <c r="AA114" s="150">
        <f t="shared" si="139"/>
        <v>39000</v>
      </c>
      <c r="AB114" s="151">
        <f t="shared" si="139"/>
        <v>10920</v>
      </c>
      <c r="AC114" s="151">
        <f t="shared" si="139"/>
        <v>27300</v>
      </c>
      <c r="AD114" s="152">
        <f t="shared" si="139"/>
        <v>10920</v>
      </c>
      <c r="AE114" s="154">
        <f t="shared" si="139"/>
        <v>88140</v>
      </c>
      <c r="AF114" s="150">
        <f t="shared" si="139"/>
        <v>27300</v>
      </c>
      <c r="AG114" s="151">
        <f t="shared" si="139"/>
        <v>10920</v>
      </c>
      <c r="AH114" s="151">
        <f t="shared" si="139"/>
        <v>27300</v>
      </c>
      <c r="AI114" s="152">
        <f t="shared" si="139"/>
        <v>38220</v>
      </c>
      <c r="AJ114" s="155">
        <f t="shared" si="139"/>
        <v>103740</v>
      </c>
      <c r="AK114" s="60">
        <f t="shared" si="137"/>
        <v>0.13890519561553574</v>
      </c>
    </row>
    <row r="115" spans="2:37" ht="22.15" hidden="1" customHeight="1" outlineLevel="1" x14ac:dyDescent="0.25">
      <c r="B115" s="91" t="s">
        <v>48</v>
      </c>
      <c r="C115" s="150">
        <f t="shared" ref="C115:AJ115" si="140">C15-C67</f>
        <v>6375</v>
      </c>
      <c r="D115" s="151">
        <f t="shared" si="140"/>
        <v>0</v>
      </c>
      <c r="E115" s="151">
        <f t="shared" si="140"/>
        <v>1785</v>
      </c>
      <c r="F115" s="151">
        <f t="shared" si="140"/>
        <v>0</v>
      </c>
      <c r="G115" s="151">
        <f t="shared" si="140"/>
        <v>0</v>
      </c>
      <c r="H115" s="151">
        <f t="shared" si="140"/>
        <v>0</v>
      </c>
      <c r="I115" s="151">
        <f t="shared" si="140"/>
        <v>4462.5</v>
      </c>
      <c r="J115" s="151">
        <f t="shared" si="140"/>
        <v>0</v>
      </c>
      <c r="K115" s="151">
        <f t="shared" si="140"/>
        <v>1785</v>
      </c>
      <c r="L115" s="151">
        <f t="shared" si="140"/>
        <v>0</v>
      </c>
      <c r="M115" s="151">
        <f t="shared" si="140"/>
        <v>0</v>
      </c>
      <c r="N115" s="152">
        <f t="shared" si="140"/>
        <v>0</v>
      </c>
      <c r="O115" s="153">
        <f t="shared" si="140"/>
        <v>4462.5</v>
      </c>
      <c r="P115" s="151">
        <f t="shared" si="140"/>
        <v>0</v>
      </c>
      <c r="Q115" s="151">
        <f t="shared" si="140"/>
        <v>1785</v>
      </c>
      <c r="R115" s="151">
        <f t="shared" si="140"/>
        <v>0</v>
      </c>
      <c r="S115" s="151">
        <f t="shared" si="140"/>
        <v>0</v>
      </c>
      <c r="T115" s="151">
        <f t="shared" si="140"/>
        <v>0</v>
      </c>
      <c r="U115" s="151">
        <f t="shared" si="140"/>
        <v>4462.5</v>
      </c>
      <c r="V115" s="151">
        <f t="shared" si="140"/>
        <v>0</v>
      </c>
      <c r="W115" s="151">
        <f t="shared" si="140"/>
        <v>1785</v>
      </c>
      <c r="X115" s="151">
        <f t="shared" si="140"/>
        <v>4462.5</v>
      </c>
      <c r="Y115" s="151">
        <f t="shared" si="140"/>
        <v>0</v>
      </c>
      <c r="Z115" s="152">
        <f t="shared" si="140"/>
        <v>0</v>
      </c>
      <c r="AA115" s="150">
        <f t="shared" si="140"/>
        <v>6375</v>
      </c>
      <c r="AB115" s="151">
        <f t="shared" si="140"/>
        <v>1785</v>
      </c>
      <c r="AC115" s="151">
        <f t="shared" si="140"/>
        <v>4462.5</v>
      </c>
      <c r="AD115" s="152">
        <f t="shared" si="140"/>
        <v>1785</v>
      </c>
      <c r="AE115" s="154">
        <f t="shared" si="140"/>
        <v>14407.5</v>
      </c>
      <c r="AF115" s="150">
        <f t="shared" si="140"/>
        <v>4462.5</v>
      </c>
      <c r="AG115" s="151">
        <f t="shared" si="140"/>
        <v>1785</v>
      </c>
      <c r="AH115" s="151">
        <f t="shared" si="140"/>
        <v>4462.5</v>
      </c>
      <c r="AI115" s="152">
        <f t="shared" si="140"/>
        <v>6247.5</v>
      </c>
      <c r="AJ115" s="155">
        <f t="shared" si="140"/>
        <v>16957.5</v>
      </c>
      <c r="AK115" s="60">
        <f t="shared" si="137"/>
        <v>2.2705656975616419E-2</v>
      </c>
    </row>
    <row r="116" spans="2:37" ht="22.15" hidden="1" customHeight="1" outlineLevel="1" x14ac:dyDescent="0.25">
      <c r="B116" s="91" t="s">
        <v>49</v>
      </c>
      <c r="C116" s="150">
        <f t="shared" ref="C116:AJ116" si="141">C16-C68</f>
        <v>0</v>
      </c>
      <c r="D116" s="151">
        <f t="shared" si="141"/>
        <v>0</v>
      </c>
      <c r="E116" s="151">
        <f t="shared" si="141"/>
        <v>0</v>
      </c>
      <c r="F116" s="151">
        <f t="shared" si="141"/>
        <v>0</v>
      </c>
      <c r="G116" s="151">
        <f t="shared" si="141"/>
        <v>0</v>
      </c>
      <c r="H116" s="151">
        <f t="shared" si="141"/>
        <v>0</v>
      </c>
      <c r="I116" s="151">
        <f t="shared" si="141"/>
        <v>0</v>
      </c>
      <c r="J116" s="151">
        <f t="shared" si="141"/>
        <v>0</v>
      </c>
      <c r="K116" s="151">
        <f t="shared" si="141"/>
        <v>0</v>
      </c>
      <c r="L116" s="151">
        <f t="shared" si="141"/>
        <v>0</v>
      </c>
      <c r="M116" s="151">
        <f t="shared" si="141"/>
        <v>0</v>
      </c>
      <c r="N116" s="152">
        <f t="shared" si="141"/>
        <v>0</v>
      </c>
      <c r="O116" s="153">
        <f t="shared" si="141"/>
        <v>0</v>
      </c>
      <c r="P116" s="151">
        <f t="shared" si="141"/>
        <v>0</v>
      </c>
      <c r="Q116" s="151">
        <f t="shared" si="141"/>
        <v>0</v>
      </c>
      <c r="R116" s="151">
        <f t="shared" si="141"/>
        <v>0</v>
      </c>
      <c r="S116" s="151">
        <f t="shared" si="141"/>
        <v>0</v>
      </c>
      <c r="T116" s="151">
        <f t="shared" si="141"/>
        <v>0</v>
      </c>
      <c r="U116" s="151">
        <f t="shared" si="141"/>
        <v>0</v>
      </c>
      <c r="V116" s="151">
        <f t="shared" si="141"/>
        <v>0</v>
      </c>
      <c r="W116" s="151">
        <f t="shared" si="141"/>
        <v>0</v>
      </c>
      <c r="X116" s="151">
        <f t="shared" si="141"/>
        <v>0</v>
      </c>
      <c r="Y116" s="151">
        <f t="shared" si="141"/>
        <v>0</v>
      </c>
      <c r="Z116" s="152">
        <f t="shared" si="141"/>
        <v>0</v>
      </c>
      <c r="AA116" s="150">
        <f t="shared" si="141"/>
        <v>0</v>
      </c>
      <c r="AB116" s="151">
        <f t="shared" si="141"/>
        <v>0</v>
      </c>
      <c r="AC116" s="151">
        <f t="shared" si="141"/>
        <v>0</v>
      </c>
      <c r="AD116" s="152">
        <f t="shared" si="141"/>
        <v>0</v>
      </c>
      <c r="AE116" s="154">
        <f t="shared" si="141"/>
        <v>0</v>
      </c>
      <c r="AF116" s="150">
        <f t="shared" si="141"/>
        <v>0</v>
      </c>
      <c r="AG116" s="151">
        <f t="shared" si="141"/>
        <v>0</v>
      </c>
      <c r="AH116" s="151">
        <f t="shared" si="141"/>
        <v>0</v>
      </c>
      <c r="AI116" s="152">
        <f t="shared" si="141"/>
        <v>0</v>
      </c>
      <c r="AJ116" s="155">
        <f t="shared" si="141"/>
        <v>0</v>
      </c>
      <c r="AK116" s="60">
        <f t="shared" si="137"/>
        <v>0</v>
      </c>
    </row>
    <row r="117" spans="2:37" ht="22.15" hidden="1" customHeight="1" outlineLevel="1" x14ac:dyDescent="0.25">
      <c r="B117" s="96" t="s">
        <v>0</v>
      </c>
      <c r="C117" s="156">
        <f t="shared" ref="C117:AJ117" si="142">C17-C69</f>
        <v>48800.625</v>
      </c>
      <c r="D117" s="157">
        <f t="shared" si="142"/>
        <v>0</v>
      </c>
      <c r="E117" s="157">
        <f t="shared" si="142"/>
        <v>13664.175000000003</v>
      </c>
      <c r="F117" s="157">
        <f t="shared" si="142"/>
        <v>0</v>
      </c>
      <c r="G117" s="157">
        <f t="shared" si="142"/>
        <v>0</v>
      </c>
      <c r="H117" s="157">
        <f t="shared" si="142"/>
        <v>0</v>
      </c>
      <c r="I117" s="157">
        <f t="shared" si="142"/>
        <v>34160.4375</v>
      </c>
      <c r="J117" s="157">
        <f t="shared" si="142"/>
        <v>0</v>
      </c>
      <c r="K117" s="157">
        <f t="shared" si="142"/>
        <v>13664.175000000003</v>
      </c>
      <c r="L117" s="157">
        <f t="shared" si="142"/>
        <v>0</v>
      </c>
      <c r="M117" s="157">
        <f t="shared" si="142"/>
        <v>0</v>
      </c>
      <c r="N117" s="158">
        <f t="shared" si="142"/>
        <v>0</v>
      </c>
      <c r="O117" s="157">
        <f t="shared" si="142"/>
        <v>34160.4375</v>
      </c>
      <c r="P117" s="157">
        <f t="shared" si="142"/>
        <v>0</v>
      </c>
      <c r="Q117" s="157">
        <f t="shared" si="142"/>
        <v>13664.175000000003</v>
      </c>
      <c r="R117" s="157">
        <f t="shared" si="142"/>
        <v>0</v>
      </c>
      <c r="S117" s="157">
        <f t="shared" si="142"/>
        <v>0</v>
      </c>
      <c r="T117" s="157">
        <f t="shared" si="142"/>
        <v>0</v>
      </c>
      <c r="U117" s="157">
        <f t="shared" si="142"/>
        <v>34160.4375</v>
      </c>
      <c r="V117" s="157">
        <f t="shared" si="142"/>
        <v>0</v>
      </c>
      <c r="W117" s="157">
        <f t="shared" si="142"/>
        <v>13664.175000000003</v>
      </c>
      <c r="X117" s="157">
        <f t="shared" si="142"/>
        <v>34160.4375</v>
      </c>
      <c r="Y117" s="157">
        <f t="shared" si="142"/>
        <v>0</v>
      </c>
      <c r="Z117" s="158">
        <f t="shared" si="142"/>
        <v>0</v>
      </c>
      <c r="AA117" s="156">
        <f t="shared" si="142"/>
        <v>48800.625</v>
      </c>
      <c r="AB117" s="157">
        <f t="shared" si="142"/>
        <v>13664.175000000003</v>
      </c>
      <c r="AC117" s="157">
        <f t="shared" si="142"/>
        <v>34160.4375</v>
      </c>
      <c r="AD117" s="158">
        <f t="shared" si="142"/>
        <v>13664.175000000003</v>
      </c>
      <c r="AE117" s="159">
        <f t="shared" si="142"/>
        <v>110289.41249999998</v>
      </c>
      <c r="AF117" s="156">
        <f t="shared" si="142"/>
        <v>34160.4375</v>
      </c>
      <c r="AG117" s="157">
        <f t="shared" si="142"/>
        <v>13664.175000000003</v>
      </c>
      <c r="AH117" s="157">
        <f t="shared" si="142"/>
        <v>34160.4375</v>
      </c>
      <c r="AI117" s="158">
        <f t="shared" si="142"/>
        <v>47824.612499999988</v>
      </c>
      <c r="AJ117" s="156">
        <f t="shared" si="142"/>
        <v>129809.66249999998</v>
      </c>
      <c r="AK117" s="61">
        <f t="shared" si="137"/>
        <v>0.17381180414834363</v>
      </c>
    </row>
    <row r="118" spans="2:37" ht="22.15" hidden="1" customHeight="1" outlineLevel="1" x14ac:dyDescent="0.25">
      <c r="B118" s="90" t="s">
        <v>56</v>
      </c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241"/>
    </row>
    <row r="119" spans="2:37" ht="22.15" hidden="1" customHeight="1" outlineLevel="1" x14ac:dyDescent="0.25">
      <c r="B119" s="91" t="s">
        <v>45</v>
      </c>
      <c r="C119" s="144">
        <f t="shared" ref="C119:AJ119" si="143">C21-C71</f>
        <v>685.125</v>
      </c>
      <c r="D119" s="145">
        <f t="shared" si="143"/>
        <v>0</v>
      </c>
      <c r="E119" s="145">
        <f t="shared" si="143"/>
        <v>479.58750000000009</v>
      </c>
      <c r="F119" s="145">
        <f t="shared" si="143"/>
        <v>0</v>
      </c>
      <c r="G119" s="145">
        <f t="shared" si="143"/>
        <v>0</v>
      </c>
      <c r="H119" s="145">
        <f t="shared" si="143"/>
        <v>0</v>
      </c>
      <c r="I119" s="145">
        <f t="shared" si="143"/>
        <v>479.58750000000009</v>
      </c>
      <c r="J119" s="145">
        <f t="shared" si="143"/>
        <v>0</v>
      </c>
      <c r="K119" s="145">
        <f t="shared" si="143"/>
        <v>479.58750000000009</v>
      </c>
      <c r="L119" s="145">
        <f t="shared" si="143"/>
        <v>0</v>
      </c>
      <c r="M119" s="145">
        <f t="shared" si="143"/>
        <v>0</v>
      </c>
      <c r="N119" s="175">
        <f t="shared" si="143"/>
        <v>0</v>
      </c>
      <c r="O119" s="144">
        <f t="shared" si="143"/>
        <v>479.58750000000009</v>
      </c>
      <c r="P119" s="145">
        <f t="shared" si="143"/>
        <v>0</v>
      </c>
      <c r="Q119" s="145">
        <f t="shared" si="143"/>
        <v>479.58750000000009</v>
      </c>
      <c r="R119" s="145">
        <f t="shared" si="143"/>
        <v>0</v>
      </c>
      <c r="S119" s="145">
        <f t="shared" si="143"/>
        <v>0</v>
      </c>
      <c r="T119" s="145">
        <f t="shared" si="143"/>
        <v>0</v>
      </c>
      <c r="U119" s="145">
        <f t="shared" si="143"/>
        <v>479.58750000000009</v>
      </c>
      <c r="V119" s="145">
        <f t="shared" si="143"/>
        <v>0</v>
      </c>
      <c r="W119" s="145">
        <f t="shared" si="143"/>
        <v>479.58750000000009</v>
      </c>
      <c r="X119" s="145">
        <f t="shared" si="143"/>
        <v>0</v>
      </c>
      <c r="Y119" s="145">
        <f t="shared" si="143"/>
        <v>0</v>
      </c>
      <c r="Z119" s="146">
        <f t="shared" si="143"/>
        <v>0</v>
      </c>
      <c r="AA119" s="144">
        <f t="shared" si="143"/>
        <v>685.125</v>
      </c>
      <c r="AB119" s="145">
        <f t="shared" si="143"/>
        <v>479.58750000000009</v>
      </c>
      <c r="AC119" s="145">
        <f t="shared" si="143"/>
        <v>479.58750000000009</v>
      </c>
      <c r="AD119" s="146">
        <f t="shared" si="143"/>
        <v>479.58750000000009</v>
      </c>
      <c r="AE119" s="148">
        <f t="shared" si="143"/>
        <v>2123.8875000000007</v>
      </c>
      <c r="AF119" s="144">
        <f t="shared" si="143"/>
        <v>479.58750000000009</v>
      </c>
      <c r="AG119" s="145">
        <f t="shared" si="143"/>
        <v>479.58750000000009</v>
      </c>
      <c r="AH119" s="145">
        <f t="shared" si="143"/>
        <v>479.58750000000009</v>
      </c>
      <c r="AI119" s="146">
        <f t="shared" si="143"/>
        <v>479.58750000000009</v>
      </c>
      <c r="AJ119" s="149">
        <f t="shared" si="143"/>
        <v>1918.3500000000004</v>
      </c>
      <c r="AK119" s="238">
        <f t="shared" si="137"/>
        <v>2.9262444791638225E-3</v>
      </c>
    </row>
    <row r="120" spans="2:37" ht="22.15" hidden="1" customHeight="1" outlineLevel="1" x14ac:dyDescent="0.25">
      <c r="B120" s="91" t="s">
        <v>46</v>
      </c>
      <c r="C120" s="150">
        <f t="shared" ref="C120:AJ120" si="144">C22-C72</f>
        <v>0</v>
      </c>
      <c r="D120" s="151">
        <f t="shared" si="144"/>
        <v>0</v>
      </c>
      <c r="E120" s="151">
        <f t="shared" si="144"/>
        <v>0</v>
      </c>
      <c r="F120" s="151">
        <f t="shared" si="144"/>
        <v>0</v>
      </c>
      <c r="G120" s="151">
        <f t="shared" si="144"/>
        <v>0</v>
      </c>
      <c r="H120" s="151">
        <f t="shared" si="144"/>
        <v>0</v>
      </c>
      <c r="I120" s="151">
        <f t="shared" si="144"/>
        <v>0</v>
      </c>
      <c r="J120" s="151">
        <f t="shared" si="144"/>
        <v>0</v>
      </c>
      <c r="K120" s="151">
        <f t="shared" si="144"/>
        <v>0</v>
      </c>
      <c r="L120" s="151">
        <f t="shared" si="144"/>
        <v>0</v>
      </c>
      <c r="M120" s="151">
        <f t="shared" si="144"/>
        <v>0</v>
      </c>
      <c r="N120" s="160">
        <f t="shared" si="144"/>
        <v>0</v>
      </c>
      <c r="O120" s="150">
        <f t="shared" si="144"/>
        <v>0</v>
      </c>
      <c r="P120" s="151">
        <f t="shared" si="144"/>
        <v>0</v>
      </c>
      <c r="Q120" s="151">
        <f t="shared" si="144"/>
        <v>0</v>
      </c>
      <c r="R120" s="151">
        <f t="shared" si="144"/>
        <v>0</v>
      </c>
      <c r="S120" s="151">
        <f t="shared" si="144"/>
        <v>0</v>
      </c>
      <c r="T120" s="151">
        <f t="shared" si="144"/>
        <v>0</v>
      </c>
      <c r="U120" s="151">
        <f t="shared" si="144"/>
        <v>0</v>
      </c>
      <c r="V120" s="151">
        <f t="shared" si="144"/>
        <v>0</v>
      </c>
      <c r="W120" s="151">
        <f t="shared" si="144"/>
        <v>0</v>
      </c>
      <c r="X120" s="151">
        <f t="shared" si="144"/>
        <v>0</v>
      </c>
      <c r="Y120" s="151">
        <f t="shared" si="144"/>
        <v>0</v>
      </c>
      <c r="Z120" s="152">
        <f t="shared" si="144"/>
        <v>0</v>
      </c>
      <c r="AA120" s="150">
        <f t="shared" si="144"/>
        <v>0</v>
      </c>
      <c r="AB120" s="151">
        <f t="shared" si="144"/>
        <v>0</v>
      </c>
      <c r="AC120" s="151">
        <f t="shared" si="144"/>
        <v>0</v>
      </c>
      <c r="AD120" s="152">
        <f t="shared" si="144"/>
        <v>0</v>
      </c>
      <c r="AE120" s="154">
        <f t="shared" si="144"/>
        <v>0</v>
      </c>
      <c r="AF120" s="150">
        <f t="shared" si="144"/>
        <v>0</v>
      </c>
      <c r="AG120" s="151">
        <f t="shared" si="144"/>
        <v>0</v>
      </c>
      <c r="AH120" s="151">
        <f t="shared" si="144"/>
        <v>0</v>
      </c>
      <c r="AI120" s="152">
        <f t="shared" si="144"/>
        <v>0</v>
      </c>
      <c r="AJ120" s="155">
        <f t="shared" si="144"/>
        <v>0</v>
      </c>
      <c r="AK120" s="60">
        <f t="shared" si="137"/>
        <v>0</v>
      </c>
    </row>
    <row r="121" spans="2:37" ht="22.15" hidden="1" customHeight="1" outlineLevel="1" x14ac:dyDescent="0.25">
      <c r="B121" s="91" t="s">
        <v>47</v>
      </c>
      <c r="C121" s="150">
        <f t="shared" ref="C121:AJ121" si="145">C23-C73</f>
        <v>7800</v>
      </c>
      <c r="D121" s="151">
        <f t="shared" si="145"/>
        <v>0</v>
      </c>
      <c r="E121" s="151">
        <f t="shared" si="145"/>
        <v>5460</v>
      </c>
      <c r="F121" s="151">
        <f t="shared" si="145"/>
        <v>0</v>
      </c>
      <c r="G121" s="151">
        <f t="shared" si="145"/>
        <v>0</v>
      </c>
      <c r="H121" s="151">
        <f t="shared" si="145"/>
        <v>0</v>
      </c>
      <c r="I121" s="151">
        <f t="shared" si="145"/>
        <v>5460</v>
      </c>
      <c r="J121" s="151">
        <f t="shared" si="145"/>
        <v>0</v>
      </c>
      <c r="K121" s="151">
        <f t="shared" si="145"/>
        <v>5460</v>
      </c>
      <c r="L121" s="151">
        <f t="shared" si="145"/>
        <v>0</v>
      </c>
      <c r="M121" s="151">
        <f t="shared" si="145"/>
        <v>0</v>
      </c>
      <c r="N121" s="160">
        <f t="shared" si="145"/>
        <v>0</v>
      </c>
      <c r="O121" s="150">
        <f t="shared" si="145"/>
        <v>5460</v>
      </c>
      <c r="P121" s="151">
        <f t="shared" si="145"/>
        <v>0</v>
      </c>
      <c r="Q121" s="151">
        <f t="shared" si="145"/>
        <v>5460</v>
      </c>
      <c r="R121" s="151">
        <f t="shared" si="145"/>
        <v>0</v>
      </c>
      <c r="S121" s="151">
        <f t="shared" si="145"/>
        <v>0</v>
      </c>
      <c r="T121" s="151">
        <f t="shared" si="145"/>
        <v>0</v>
      </c>
      <c r="U121" s="151">
        <f t="shared" si="145"/>
        <v>5460</v>
      </c>
      <c r="V121" s="151">
        <f t="shared" si="145"/>
        <v>0</v>
      </c>
      <c r="W121" s="151">
        <f t="shared" si="145"/>
        <v>5460</v>
      </c>
      <c r="X121" s="151">
        <f t="shared" si="145"/>
        <v>0</v>
      </c>
      <c r="Y121" s="151">
        <f t="shared" si="145"/>
        <v>0</v>
      </c>
      <c r="Z121" s="152">
        <f t="shared" si="145"/>
        <v>0</v>
      </c>
      <c r="AA121" s="150">
        <f t="shared" si="145"/>
        <v>7800</v>
      </c>
      <c r="AB121" s="151">
        <f t="shared" si="145"/>
        <v>5460</v>
      </c>
      <c r="AC121" s="151">
        <f t="shared" si="145"/>
        <v>5460</v>
      </c>
      <c r="AD121" s="152">
        <f t="shared" si="145"/>
        <v>5460</v>
      </c>
      <c r="AE121" s="154">
        <f t="shared" si="145"/>
        <v>24180</v>
      </c>
      <c r="AF121" s="150">
        <f t="shared" si="145"/>
        <v>5460</v>
      </c>
      <c r="AG121" s="151">
        <f t="shared" si="145"/>
        <v>5460</v>
      </c>
      <c r="AH121" s="151">
        <f t="shared" si="145"/>
        <v>5460</v>
      </c>
      <c r="AI121" s="152">
        <f t="shared" si="145"/>
        <v>5460</v>
      </c>
      <c r="AJ121" s="155">
        <f t="shared" si="145"/>
        <v>21840</v>
      </c>
      <c r="AK121" s="60">
        <f t="shared" si="137"/>
        <v>3.3314660737059382E-2</v>
      </c>
    </row>
    <row r="122" spans="2:37" ht="22.15" hidden="1" customHeight="1" outlineLevel="1" x14ac:dyDescent="0.25">
      <c r="B122" s="91" t="s">
        <v>48</v>
      </c>
      <c r="C122" s="150">
        <f t="shared" ref="C122:AJ122" si="146">C24-C74</f>
        <v>1275</v>
      </c>
      <c r="D122" s="151">
        <f t="shared" si="146"/>
        <v>0</v>
      </c>
      <c r="E122" s="151">
        <f t="shared" si="146"/>
        <v>892.5</v>
      </c>
      <c r="F122" s="151">
        <f t="shared" si="146"/>
        <v>0</v>
      </c>
      <c r="G122" s="151">
        <f t="shared" si="146"/>
        <v>0</v>
      </c>
      <c r="H122" s="151">
        <f t="shared" si="146"/>
        <v>0</v>
      </c>
      <c r="I122" s="151">
        <f t="shared" si="146"/>
        <v>892.5</v>
      </c>
      <c r="J122" s="151">
        <f t="shared" si="146"/>
        <v>0</v>
      </c>
      <c r="K122" s="151">
        <f t="shared" si="146"/>
        <v>892.5</v>
      </c>
      <c r="L122" s="151">
        <f t="shared" si="146"/>
        <v>0</v>
      </c>
      <c r="M122" s="151">
        <f t="shared" si="146"/>
        <v>0</v>
      </c>
      <c r="N122" s="160">
        <f t="shared" si="146"/>
        <v>0</v>
      </c>
      <c r="O122" s="150">
        <f t="shared" si="146"/>
        <v>892.5</v>
      </c>
      <c r="P122" s="151">
        <f t="shared" si="146"/>
        <v>0</v>
      </c>
      <c r="Q122" s="151">
        <f t="shared" si="146"/>
        <v>892.5</v>
      </c>
      <c r="R122" s="151">
        <f t="shared" si="146"/>
        <v>0</v>
      </c>
      <c r="S122" s="151">
        <f t="shared" si="146"/>
        <v>0</v>
      </c>
      <c r="T122" s="151">
        <f t="shared" si="146"/>
        <v>0</v>
      </c>
      <c r="U122" s="151">
        <f t="shared" si="146"/>
        <v>892.5</v>
      </c>
      <c r="V122" s="151">
        <f t="shared" si="146"/>
        <v>0</v>
      </c>
      <c r="W122" s="151">
        <f t="shared" si="146"/>
        <v>892.5</v>
      </c>
      <c r="X122" s="151">
        <f t="shared" si="146"/>
        <v>0</v>
      </c>
      <c r="Y122" s="151">
        <f t="shared" si="146"/>
        <v>0</v>
      </c>
      <c r="Z122" s="152">
        <f t="shared" si="146"/>
        <v>0</v>
      </c>
      <c r="AA122" s="150">
        <f t="shared" si="146"/>
        <v>1275</v>
      </c>
      <c r="AB122" s="151">
        <f t="shared" si="146"/>
        <v>892.5</v>
      </c>
      <c r="AC122" s="151">
        <f t="shared" si="146"/>
        <v>892.5</v>
      </c>
      <c r="AD122" s="152">
        <f t="shared" si="146"/>
        <v>892.5</v>
      </c>
      <c r="AE122" s="154">
        <f t="shared" si="146"/>
        <v>3952.5</v>
      </c>
      <c r="AF122" s="150">
        <f t="shared" si="146"/>
        <v>892.5</v>
      </c>
      <c r="AG122" s="151">
        <f t="shared" si="146"/>
        <v>892.5</v>
      </c>
      <c r="AH122" s="151">
        <f t="shared" si="146"/>
        <v>892.5</v>
      </c>
      <c r="AI122" s="152">
        <f t="shared" si="146"/>
        <v>892.5</v>
      </c>
      <c r="AJ122" s="155">
        <f t="shared" si="146"/>
        <v>3570</v>
      </c>
      <c r="AK122" s="60">
        <f t="shared" si="137"/>
        <v>5.4456656974039373E-3</v>
      </c>
    </row>
    <row r="123" spans="2:37" ht="22.15" hidden="1" customHeight="1" outlineLevel="1" x14ac:dyDescent="0.25">
      <c r="B123" s="91" t="s">
        <v>49</v>
      </c>
      <c r="C123" s="161">
        <f t="shared" ref="C123:AJ123" si="147">C25-C75</f>
        <v>0</v>
      </c>
      <c r="D123" s="162">
        <f t="shared" si="147"/>
        <v>0</v>
      </c>
      <c r="E123" s="162">
        <f t="shared" si="147"/>
        <v>0</v>
      </c>
      <c r="F123" s="162">
        <f t="shared" si="147"/>
        <v>0</v>
      </c>
      <c r="G123" s="162">
        <f t="shared" si="147"/>
        <v>0</v>
      </c>
      <c r="H123" s="162">
        <f t="shared" si="147"/>
        <v>0</v>
      </c>
      <c r="I123" s="162">
        <f t="shared" si="147"/>
        <v>0</v>
      </c>
      <c r="J123" s="162">
        <f t="shared" si="147"/>
        <v>0</v>
      </c>
      <c r="K123" s="162">
        <f t="shared" si="147"/>
        <v>0</v>
      </c>
      <c r="L123" s="162">
        <f t="shared" si="147"/>
        <v>0</v>
      </c>
      <c r="M123" s="162">
        <f t="shared" si="147"/>
        <v>0</v>
      </c>
      <c r="N123" s="163">
        <f t="shared" si="147"/>
        <v>0</v>
      </c>
      <c r="O123" s="150">
        <f t="shared" si="147"/>
        <v>0</v>
      </c>
      <c r="P123" s="151">
        <f t="shared" si="147"/>
        <v>0</v>
      </c>
      <c r="Q123" s="151">
        <f t="shared" si="147"/>
        <v>0</v>
      </c>
      <c r="R123" s="151">
        <f t="shared" si="147"/>
        <v>0</v>
      </c>
      <c r="S123" s="151">
        <f t="shared" si="147"/>
        <v>0</v>
      </c>
      <c r="T123" s="151">
        <f t="shared" si="147"/>
        <v>0</v>
      </c>
      <c r="U123" s="151">
        <f t="shared" si="147"/>
        <v>0</v>
      </c>
      <c r="V123" s="151">
        <f t="shared" si="147"/>
        <v>0</v>
      </c>
      <c r="W123" s="151">
        <f t="shared" si="147"/>
        <v>0</v>
      </c>
      <c r="X123" s="151">
        <f t="shared" si="147"/>
        <v>0</v>
      </c>
      <c r="Y123" s="151">
        <f t="shared" si="147"/>
        <v>0</v>
      </c>
      <c r="Z123" s="152">
        <f t="shared" si="147"/>
        <v>0</v>
      </c>
      <c r="AA123" s="150">
        <f t="shared" si="147"/>
        <v>0</v>
      </c>
      <c r="AB123" s="151">
        <f t="shared" si="147"/>
        <v>0</v>
      </c>
      <c r="AC123" s="151">
        <f t="shared" si="147"/>
        <v>0</v>
      </c>
      <c r="AD123" s="152">
        <f t="shared" si="147"/>
        <v>0</v>
      </c>
      <c r="AE123" s="154">
        <f t="shared" si="147"/>
        <v>0</v>
      </c>
      <c r="AF123" s="150">
        <f t="shared" si="147"/>
        <v>0</v>
      </c>
      <c r="AG123" s="151">
        <f t="shared" si="147"/>
        <v>0</v>
      </c>
      <c r="AH123" s="151">
        <f t="shared" si="147"/>
        <v>0</v>
      </c>
      <c r="AI123" s="152">
        <f t="shared" si="147"/>
        <v>0</v>
      </c>
      <c r="AJ123" s="155">
        <f t="shared" si="147"/>
        <v>0</v>
      </c>
      <c r="AK123" s="60">
        <f t="shared" si="137"/>
        <v>0</v>
      </c>
    </row>
    <row r="124" spans="2:37" ht="22.15" hidden="1" customHeight="1" outlineLevel="1" x14ac:dyDescent="0.25">
      <c r="B124" s="96" t="s">
        <v>0</v>
      </c>
      <c r="C124" s="156">
        <f t="shared" ref="C124:AJ124" si="148">C26-C76</f>
        <v>9760.125</v>
      </c>
      <c r="D124" s="157">
        <f t="shared" si="148"/>
        <v>0</v>
      </c>
      <c r="E124" s="157">
        <f t="shared" si="148"/>
        <v>6832.0875000000015</v>
      </c>
      <c r="F124" s="157">
        <f t="shared" si="148"/>
        <v>0</v>
      </c>
      <c r="G124" s="157">
        <f t="shared" si="148"/>
        <v>0</v>
      </c>
      <c r="H124" s="157">
        <f t="shared" si="148"/>
        <v>0</v>
      </c>
      <c r="I124" s="157">
        <f t="shared" si="148"/>
        <v>6832.0875000000015</v>
      </c>
      <c r="J124" s="157">
        <f t="shared" si="148"/>
        <v>0</v>
      </c>
      <c r="K124" s="157">
        <f t="shared" si="148"/>
        <v>6832.0875000000015</v>
      </c>
      <c r="L124" s="157">
        <f t="shared" si="148"/>
        <v>0</v>
      </c>
      <c r="M124" s="157">
        <f t="shared" si="148"/>
        <v>0</v>
      </c>
      <c r="N124" s="157">
        <f t="shared" si="148"/>
        <v>0</v>
      </c>
      <c r="O124" s="156">
        <f t="shared" si="148"/>
        <v>6832.0875000000015</v>
      </c>
      <c r="P124" s="157">
        <f t="shared" si="148"/>
        <v>0</v>
      </c>
      <c r="Q124" s="157">
        <f t="shared" si="148"/>
        <v>6832.0875000000015</v>
      </c>
      <c r="R124" s="157">
        <f t="shared" si="148"/>
        <v>0</v>
      </c>
      <c r="S124" s="157">
        <f t="shared" si="148"/>
        <v>0</v>
      </c>
      <c r="T124" s="157">
        <f t="shared" si="148"/>
        <v>0</v>
      </c>
      <c r="U124" s="157">
        <f t="shared" si="148"/>
        <v>6832.0875000000015</v>
      </c>
      <c r="V124" s="157">
        <f t="shared" si="148"/>
        <v>0</v>
      </c>
      <c r="W124" s="157">
        <f t="shared" si="148"/>
        <v>6832.0875000000015</v>
      </c>
      <c r="X124" s="157">
        <f t="shared" si="148"/>
        <v>0</v>
      </c>
      <c r="Y124" s="157">
        <f t="shared" si="148"/>
        <v>0</v>
      </c>
      <c r="Z124" s="158">
        <f t="shared" si="148"/>
        <v>0</v>
      </c>
      <c r="AA124" s="156">
        <f t="shared" si="148"/>
        <v>9760.125</v>
      </c>
      <c r="AB124" s="157">
        <f t="shared" si="148"/>
        <v>6832.0875000000015</v>
      </c>
      <c r="AC124" s="157">
        <f t="shared" si="148"/>
        <v>6832.0875000000015</v>
      </c>
      <c r="AD124" s="158">
        <f t="shared" si="148"/>
        <v>6832.0875000000015</v>
      </c>
      <c r="AE124" s="159">
        <f t="shared" si="148"/>
        <v>30256.387500000012</v>
      </c>
      <c r="AF124" s="156">
        <f t="shared" si="148"/>
        <v>6832.0875000000015</v>
      </c>
      <c r="AG124" s="157">
        <f t="shared" si="148"/>
        <v>6832.0875000000015</v>
      </c>
      <c r="AH124" s="157">
        <f t="shared" si="148"/>
        <v>6832.0875000000015</v>
      </c>
      <c r="AI124" s="158">
        <f t="shared" si="148"/>
        <v>6832.0875000000015</v>
      </c>
      <c r="AJ124" s="156">
        <f t="shared" si="148"/>
        <v>27328.350000000006</v>
      </c>
      <c r="AK124" s="61">
        <f t="shared" si="137"/>
        <v>4.1686570913627152E-2</v>
      </c>
    </row>
    <row r="125" spans="2:37" ht="22.15" hidden="1" customHeight="1" outlineLevel="1" x14ac:dyDescent="0.25">
      <c r="B125" s="90" t="s">
        <v>57</v>
      </c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241"/>
    </row>
    <row r="126" spans="2:37" ht="22.15" hidden="1" customHeight="1" outlineLevel="1" x14ac:dyDescent="0.25">
      <c r="B126" s="91" t="s">
        <v>45</v>
      </c>
      <c r="C126" s="144">
        <f t="shared" ref="C126:AJ126" si="149">C30-C78</f>
        <v>685.125</v>
      </c>
      <c r="D126" s="145">
        <f t="shared" si="149"/>
        <v>0</v>
      </c>
      <c r="E126" s="145">
        <f t="shared" si="149"/>
        <v>479.58750000000009</v>
      </c>
      <c r="F126" s="145">
        <f t="shared" si="149"/>
        <v>0</v>
      </c>
      <c r="G126" s="145">
        <f t="shared" si="149"/>
        <v>0</v>
      </c>
      <c r="H126" s="145">
        <f t="shared" si="149"/>
        <v>0</v>
      </c>
      <c r="I126" s="145">
        <f t="shared" si="149"/>
        <v>479.58750000000009</v>
      </c>
      <c r="J126" s="145">
        <f t="shared" si="149"/>
        <v>0</v>
      </c>
      <c r="K126" s="145">
        <f t="shared" si="149"/>
        <v>479.58750000000009</v>
      </c>
      <c r="L126" s="145">
        <f t="shared" si="149"/>
        <v>0</v>
      </c>
      <c r="M126" s="145">
        <f t="shared" si="149"/>
        <v>0</v>
      </c>
      <c r="N126" s="146">
        <f t="shared" si="149"/>
        <v>0</v>
      </c>
      <c r="O126" s="144">
        <f t="shared" si="149"/>
        <v>479.58750000000009</v>
      </c>
      <c r="P126" s="145">
        <f t="shared" si="149"/>
        <v>0</v>
      </c>
      <c r="Q126" s="145">
        <f t="shared" si="149"/>
        <v>479.58750000000009</v>
      </c>
      <c r="R126" s="145">
        <f t="shared" si="149"/>
        <v>0</v>
      </c>
      <c r="S126" s="145">
        <f t="shared" si="149"/>
        <v>0</v>
      </c>
      <c r="T126" s="145">
        <f t="shared" si="149"/>
        <v>0</v>
      </c>
      <c r="U126" s="145">
        <f t="shared" si="149"/>
        <v>479.58750000000009</v>
      </c>
      <c r="V126" s="145">
        <f t="shared" si="149"/>
        <v>0</v>
      </c>
      <c r="W126" s="145">
        <f t="shared" si="149"/>
        <v>479.58750000000009</v>
      </c>
      <c r="X126" s="145">
        <f t="shared" si="149"/>
        <v>479.58750000000009</v>
      </c>
      <c r="Y126" s="145">
        <f t="shared" si="149"/>
        <v>0</v>
      </c>
      <c r="Z126" s="146">
        <f t="shared" si="149"/>
        <v>0</v>
      </c>
      <c r="AA126" s="144">
        <f t="shared" si="149"/>
        <v>685.125</v>
      </c>
      <c r="AB126" s="145">
        <f t="shared" si="149"/>
        <v>479.58750000000009</v>
      </c>
      <c r="AC126" s="145">
        <f t="shared" si="149"/>
        <v>479.58750000000009</v>
      </c>
      <c r="AD126" s="146">
        <f t="shared" si="149"/>
        <v>479.58750000000009</v>
      </c>
      <c r="AE126" s="148">
        <f t="shared" si="149"/>
        <v>2123.8875000000007</v>
      </c>
      <c r="AF126" s="144">
        <f t="shared" si="149"/>
        <v>479.58750000000009</v>
      </c>
      <c r="AG126" s="145">
        <f t="shared" si="149"/>
        <v>479.58750000000009</v>
      </c>
      <c r="AH126" s="145">
        <f t="shared" si="149"/>
        <v>479.58750000000009</v>
      </c>
      <c r="AI126" s="146">
        <f t="shared" si="149"/>
        <v>959.17500000000018</v>
      </c>
      <c r="AJ126" s="149">
        <f t="shared" si="149"/>
        <v>2397.9375</v>
      </c>
      <c r="AK126" s="238">
        <f t="shared" si="137"/>
        <v>3.2734260275391908E-3</v>
      </c>
    </row>
    <row r="127" spans="2:37" ht="22.15" hidden="1" customHeight="1" outlineLevel="1" x14ac:dyDescent="0.25">
      <c r="B127" s="91" t="s">
        <v>46</v>
      </c>
      <c r="C127" s="150">
        <f t="shared" ref="C127:AJ127" si="150">C31-C79</f>
        <v>0</v>
      </c>
      <c r="D127" s="151">
        <f t="shared" si="150"/>
        <v>0</v>
      </c>
      <c r="E127" s="151">
        <f t="shared" si="150"/>
        <v>0</v>
      </c>
      <c r="F127" s="151">
        <f t="shared" si="150"/>
        <v>0</v>
      </c>
      <c r="G127" s="151">
        <f t="shared" si="150"/>
        <v>0</v>
      </c>
      <c r="H127" s="151">
        <f t="shared" si="150"/>
        <v>0</v>
      </c>
      <c r="I127" s="151">
        <f t="shared" si="150"/>
        <v>0</v>
      </c>
      <c r="J127" s="151">
        <f t="shared" si="150"/>
        <v>0</v>
      </c>
      <c r="K127" s="151">
        <f t="shared" si="150"/>
        <v>0</v>
      </c>
      <c r="L127" s="151">
        <f t="shared" si="150"/>
        <v>0</v>
      </c>
      <c r="M127" s="151">
        <f t="shared" si="150"/>
        <v>0</v>
      </c>
      <c r="N127" s="152">
        <f t="shared" si="150"/>
        <v>0</v>
      </c>
      <c r="O127" s="150">
        <f t="shared" si="150"/>
        <v>0</v>
      </c>
      <c r="P127" s="151">
        <f t="shared" si="150"/>
        <v>0</v>
      </c>
      <c r="Q127" s="151">
        <f t="shared" si="150"/>
        <v>0</v>
      </c>
      <c r="R127" s="151">
        <f t="shared" si="150"/>
        <v>0</v>
      </c>
      <c r="S127" s="151">
        <f t="shared" si="150"/>
        <v>0</v>
      </c>
      <c r="T127" s="151">
        <f t="shared" si="150"/>
        <v>0</v>
      </c>
      <c r="U127" s="151">
        <f t="shared" si="150"/>
        <v>0</v>
      </c>
      <c r="V127" s="151">
        <f t="shared" si="150"/>
        <v>0</v>
      </c>
      <c r="W127" s="151">
        <f t="shared" si="150"/>
        <v>0</v>
      </c>
      <c r="X127" s="151">
        <f t="shared" si="150"/>
        <v>0</v>
      </c>
      <c r="Y127" s="151">
        <f t="shared" si="150"/>
        <v>0</v>
      </c>
      <c r="Z127" s="152">
        <f t="shared" si="150"/>
        <v>0</v>
      </c>
      <c r="AA127" s="150">
        <f t="shared" si="150"/>
        <v>0</v>
      </c>
      <c r="AB127" s="151">
        <f t="shared" si="150"/>
        <v>0</v>
      </c>
      <c r="AC127" s="151">
        <f t="shared" si="150"/>
        <v>0</v>
      </c>
      <c r="AD127" s="152">
        <f t="shared" si="150"/>
        <v>0</v>
      </c>
      <c r="AE127" s="154">
        <f t="shared" si="150"/>
        <v>0</v>
      </c>
      <c r="AF127" s="150">
        <f t="shared" si="150"/>
        <v>0</v>
      </c>
      <c r="AG127" s="151">
        <f t="shared" si="150"/>
        <v>0</v>
      </c>
      <c r="AH127" s="151">
        <f t="shared" si="150"/>
        <v>0</v>
      </c>
      <c r="AI127" s="152">
        <f t="shared" si="150"/>
        <v>0</v>
      </c>
      <c r="AJ127" s="155">
        <f t="shared" si="150"/>
        <v>0</v>
      </c>
      <c r="AK127" s="60">
        <f t="shared" si="137"/>
        <v>0</v>
      </c>
    </row>
    <row r="128" spans="2:37" ht="22.15" hidden="1" customHeight="1" outlineLevel="1" x14ac:dyDescent="0.25">
      <c r="B128" s="91" t="s">
        <v>47</v>
      </c>
      <c r="C128" s="150">
        <f t="shared" ref="C128:AJ128" si="151">C32-C80</f>
        <v>7800</v>
      </c>
      <c r="D128" s="151">
        <f t="shared" si="151"/>
        <v>0</v>
      </c>
      <c r="E128" s="151">
        <f t="shared" si="151"/>
        <v>5460</v>
      </c>
      <c r="F128" s="151">
        <f t="shared" si="151"/>
        <v>0</v>
      </c>
      <c r="G128" s="151">
        <f t="shared" si="151"/>
        <v>0</v>
      </c>
      <c r="H128" s="151">
        <f t="shared" si="151"/>
        <v>0</v>
      </c>
      <c r="I128" s="151">
        <f t="shared" si="151"/>
        <v>5460</v>
      </c>
      <c r="J128" s="151">
        <f t="shared" si="151"/>
        <v>0</v>
      </c>
      <c r="K128" s="151">
        <f t="shared" si="151"/>
        <v>5460</v>
      </c>
      <c r="L128" s="151">
        <f t="shared" si="151"/>
        <v>0</v>
      </c>
      <c r="M128" s="151">
        <f t="shared" si="151"/>
        <v>0</v>
      </c>
      <c r="N128" s="152">
        <f t="shared" si="151"/>
        <v>0</v>
      </c>
      <c r="O128" s="150">
        <f t="shared" si="151"/>
        <v>5460</v>
      </c>
      <c r="P128" s="151">
        <f t="shared" si="151"/>
        <v>0</v>
      </c>
      <c r="Q128" s="151">
        <f t="shared" si="151"/>
        <v>5460</v>
      </c>
      <c r="R128" s="151">
        <f t="shared" si="151"/>
        <v>0</v>
      </c>
      <c r="S128" s="151">
        <f t="shared" si="151"/>
        <v>0</v>
      </c>
      <c r="T128" s="151">
        <f t="shared" si="151"/>
        <v>0</v>
      </c>
      <c r="U128" s="151">
        <f t="shared" si="151"/>
        <v>5460</v>
      </c>
      <c r="V128" s="151">
        <f t="shared" si="151"/>
        <v>0</v>
      </c>
      <c r="W128" s="151">
        <f t="shared" si="151"/>
        <v>5460</v>
      </c>
      <c r="X128" s="151">
        <f t="shared" si="151"/>
        <v>5460</v>
      </c>
      <c r="Y128" s="151">
        <f t="shared" si="151"/>
        <v>0</v>
      </c>
      <c r="Z128" s="152">
        <f t="shared" si="151"/>
        <v>0</v>
      </c>
      <c r="AA128" s="150">
        <f t="shared" si="151"/>
        <v>7800</v>
      </c>
      <c r="AB128" s="151">
        <f t="shared" si="151"/>
        <v>5460</v>
      </c>
      <c r="AC128" s="151">
        <f t="shared" si="151"/>
        <v>5460</v>
      </c>
      <c r="AD128" s="152">
        <f t="shared" si="151"/>
        <v>5460</v>
      </c>
      <c r="AE128" s="154">
        <f t="shared" si="151"/>
        <v>24180</v>
      </c>
      <c r="AF128" s="150">
        <f t="shared" si="151"/>
        <v>5460</v>
      </c>
      <c r="AG128" s="151">
        <f t="shared" si="151"/>
        <v>5460</v>
      </c>
      <c r="AH128" s="151">
        <f t="shared" si="151"/>
        <v>5460</v>
      </c>
      <c r="AI128" s="152">
        <f t="shared" si="151"/>
        <v>10920</v>
      </c>
      <c r="AJ128" s="155">
        <f t="shared" si="151"/>
        <v>27300</v>
      </c>
      <c r="AK128" s="60">
        <f t="shared" si="137"/>
        <v>3.7267247604168122E-2</v>
      </c>
    </row>
    <row r="129" spans="2:37" ht="22.15" hidden="1" customHeight="1" outlineLevel="1" x14ac:dyDescent="0.25">
      <c r="B129" s="91" t="s">
        <v>48</v>
      </c>
      <c r="C129" s="150">
        <f t="shared" ref="C129:AJ129" si="152">C33-C81</f>
        <v>1275</v>
      </c>
      <c r="D129" s="151">
        <f t="shared" si="152"/>
        <v>0</v>
      </c>
      <c r="E129" s="151">
        <f t="shared" si="152"/>
        <v>892.5</v>
      </c>
      <c r="F129" s="151">
        <f t="shared" si="152"/>
        <v>0</v>
      </c>
      <c r="G129" s="151">
        <f t="shared" si="152"/>
        <v>0</v>
      </c>
      <c r="H129" s="151">
        <f t="shared" si="152"/>
        <v>0</v>
      </c>
      <c r="I129" s="151">
        <f t="shared" si="152"/>
        <v>892.5</v>
      </c>
      <c r="J129" s="151">
        <f t="shared" si="152"/>
        <v>0</v>
      </c>
      <c r="K129" s="151">
        <f t="shared" si="152"/>
        <v>892.5</v>
      </c>
      <c r="L129" s="151">
        <f t="shared" si="152"/>
        <v>0</v>
      </c>
      <c r="M129" s="151">
        <f t="shared" si="152"/>
        <v>0</v>
      </c>
      <c r="N129" s="152">
        <f t="shared" si="152"/>
        <v>0</v>
      </c>
      <c r="O129" s="150">
        <f t="shared" si="152"/>
        <v>892.5</v>
      </c>
      <c r="P129" s="151">
        <f t="shared" si="152"/>
        <v>0</v>
      </c>
      <c r="Q129" s="151">
        <f t="shared" si="152"/>
        <v>892.5</v>
      </c>
      <c r="R129" s="151">
        <f t="shared" si="152"/>
        <v>0</v>
      </c>
      <c r="S129" s="151">
        <f t="shared" si="152"/>
        <v>0</v>
      </c>
      <c r="T129" s="151">
        <f t="shared" si="152"/>
        <v>0</v>
      </c>
      <c r="U129" s="151">
        <f t="shared" si="152"/>
        <v>892.5</v>
      </c>
      <c r="V129" s="151">
        <f t="shared" si="152"/>
        <v>0</v>
      </c>
      <c r="W129" s="151">
        <f t="shared" si="152"/>
        <v>892.5</v>
      </c>
      <c r="X129" s="151">
        <f t="shared" si="152"/>
        <v>892.5</v>
      </c>
      <c r="Y129" s="151">
        <f t="shared" si="152"/>
        <v>0</v>
      </c>
      <c r="Z129" s="152">
        <f t="shared" si="152"/>
        <v>0</v>
      </c>
      <c r="AA129" s="150">
        <f t="shared" si="152"/>
        <v>1275</v>
      </c>
      <c r="AB129" s="151">
        <f t="shared" si="152"/>
        <v>892.5</v>
      </c>
      <c r="AC129" s="151">
        <f t="shared" si="152"/>
        <v>892.5</v>
      </c>
      <c r="AD129" s="152">
        <f t="shared" si="152"/>
        <v>892.5</v>
      </c>
      <c r="AE129" s="154">
        <f t="shared" si="152"/>
        <v>3952.5</v>
      </c>
      <c r="AF129" s="150">
        <f t="shared" si="152"/>
        <v>892.5</v>
      </c>
      <c r="AG129" s="151">
        <f t="shared" si="152"/>
        <v>892.5</v>
      </c>
      <c r="AH129" s="151">
        <f t="shared" si="152"/>
        <v>892.5</v>
      </c>
      <c r="AI129" s="152">
        <f t="shared" si="152"/>
        <v>1785</v>
      </c>
      <c r="AJ129" s="155">
        <f t="shared" si="152"/>
        <v>4462.5</v>
      </c>
      <c r="AK129" s="60">
        <f t="shared" si="137"/>
        <v>6.0917616276044044E-3</v>
      </c>
    </row>
    <row r="130" spans="2:37" ht="22.15" hidden="1" customHeight="1" outlineLevel="1" x14ac:dyDescent="0.25">
      <c r="B130" s="91" t="s">
        <v>49</v>
      </c>
      <c r="C130" s="150">
        <f t="shared" ref="C130:AJ130" si="153">C34-C82</f>
        <v>0</v>
      </c>
      <c r="D130" s="151">
        <f t="shared" si="153"/>
        <v>0</v>
      </c>
      <c r="E130" s="151">
        <f t="shared" si="153"/>
        <v>0</v>
      </c>
      <c r="F130" s="151">
        <f t="shared" si="153"/>
        <v>0</v>
      </c>
      <c r="G130" s="151">
        <f t="shared" si="153"/>
        <v>0</v>
      </c>
      <c r="H130" s="151">
        <f t="shared" si="153"/>
        <v>0</v>
      </c>
      <c r="I130" s="151">
        <f t="shared" si="153"/>
        <v>0</v>
      </c>
      <c r="J130" s="151">
        <f t="shared" si="153"/>
        <v>0</v>
      </c>
      <c r="K130" s="151">
        <f t="shared" si="153"/>
        <v>0</v>
      </c>
      <c r="L130" s="151">
        <f t="shared" si="153"/>
        <v>0</v>
      </c>
      <c r="M130" s="151">
        <f t="shared" si="153"/>
        <v>0</v>
      </c>
      <c r="N130" s="152">
        <f t="shared" si="153"/>
        <v>0</v>
      </c>
      <c r="O130" s="150">
        <f t="shared" si="153"/>
        <v>0</v>
      </c>
      <c r="P130" s="151">
        <f t="shared" si="153"/>
        <v>0</v>
      </c>
      <c r="Q130" s="151">
        <f t="shared" si="153"/>
        <v>0</v>
      </c>
      <c r="R130" s="151">
        <f t="shared" si="153"/>
        <v>0</v>
      </c>
      <c r="S130" s="151">
        <f t="shared" si="153"/>
        <v>0</v>
      </c>
      <c r="T130" s="151">
        <f t="shared" si="153"/>
        <v>0</v>
      </c>
      <c r="U130" s="151">
        <f t="shared" si="153"/>
        <v>0</v>
      </c>
      <c r="V130" s="151">
        <f t="shared" si="153"/>
        <v>0</v>
      </c>
      <c r="W130" s="151">
        <f t="shared" si="153"/>
        <v>0</v>
      </c>
      <c r="X130" s="151">
        <f t="shared" si="153"/>
        <v>0</v>
      </c>
      <c r="Y130" s="151">
        <f t="shared" si="153"/>
        <v>0</v>
      </c>
      <c r="Z130" s="152">
        <f t="shared" si="153"/>
        <v>0</v>
      </c>
      <c r="AA130" s="150">
        <f t="shared" si="153"/>
        <v>0</v>
      </c>
      <c r="AB130" s="151">
        <f t="shared" si="153"/>
        <v>0</v>
      </c>
      <c r="AC130" s="151">
        <f t="shared" si="153"/>
        <v>0</v>
      </c>
      <c r="AD130" s="152">
        <f t="shared" si="153"/>
        <v>0</v>
      </c>
      <c r="AE130" s="154">
        <f t="shared" si="153"/>
        <v>0</v>
      </c>
      <c r="AF130" s="150">
        <f t="shared" si="153"/>
        <v>0</v>
      </c>
      <c r="AG130" s="151">
        <f t="shared" si="153"/>
        <v>0</v>
      </c>
      <c r="AH130" s="151">
        <f t="shared" si="153"/>
        <v>0</v>
      </c>
      <c r="AI130" s="152">
        <f t="shared" si="153"/>
        <v>0</v>
      </c>
      <c r="AJ130" s="155">
        <f t="shared" si="153"/>
        <v>0</v>
      </c>
      <c r="AK130" s="60">
        <f t="shared" si="137"/>
        <v>0</v>
      </c>
    </row>
    <row r="131" spans="2:37" ht="22.15" hidden="1" customHeight="1" outlineLevel="1" x14ac:dyDescent="0.25">
      <c r="B131" s="96" t="s">
        <v>0</v>
      </c>
      <c r="C131" s="156">
        <f t="shared" ref="C131:AJ131" si="154">C35-C83</f>
        <v>9760.125</v>
      </c>
      <c r="D131" s="157">
        <f t="shared" si="154"/>
        <v>0</v>
      </c>
      <c r="E131" s="157">
        <f t="shared" si="154"/>
        <v>6832.0875000000015</v>
      </c>
      <c r="F131" s="157">
        <f t="shared" si="154"/>
        <v>0</v>
      </c>
      <c r="G131" s="157">
        <f t="shared" si="154"/>
        <v>0</v>
      </c>
      <c r="H131" s="157">
        <f t="shared" si="154"/>
        <v>0</v>
      </c>
      <c r="I131" s="157">
        <f t="shared" si="154"/>
        <v>6832.0875000000015</v>
      </c>
      <c r="J131" s="157">
        <f t="shared" si="154"/>
        <v>0</v>
      </c>
      <c r="K131" s="157">
        <f t="shared" si="154"/>
        <v>6832.0875000000015</v>
      </c>
      <c r="L131" s="157">
        <f t="shared" si="154"/>
        <v>0</v>
      </c>
      <c r="M131" s="157">
        <f t="shared" si="154"/>
        <v>0</v>
      </c>
      <c r="N131" s="158">
        <f t="shared" si="154"/>
        <v>0</v>
      </c>
      <c r="O131" s="156">
        <f t="shared" si="154"/>
        <v>6832.0875000000015</v>
      </c>
      <c r="P131" s="157">
        <f t="shared" si="154"/>
        <v>0</v>
      </c>
      <c r="Q131" s="157">
        <f t="shared" si="154"/>
        <v>6832.0875000000015</v>
      </c>
      <c r="R131" s="157">
        <f t="shared" si="154"/>
        <v>0</v>
      </c>
      <c r="S131" s="157">
        <f t="shared" si="154"/>
        <v>0</v>
      </c>
      <c r="T131" s="157">
        <f t="shared" si="154"/>
        <v>0</v>
      </c>
      <c r="U131" s="157">
        <f t="shared" si="154"/>
        <v>6832.0875000000015</v>
      </c>
      <c r="V131" s="157">
        <f t="shared" si="154"/>
        <v>0</v>
      </c>
      <c r="W131" s="157">
        <f t="shared" si="154"/>
        <v>6832.0875000000015</v>
      </c>
      <c r="X131" s="157">
        <f t="shared" si="154"/>
        <v>6832.0875000000015</v>
      </c>
      <c r="Y131" s="157">
        <f t="shared" si="154"/>
        <v>0</v>
      </c>
      <c r="Z131" s="158">
        <f t="shared" si="154"/>
        <v>0</v>
      </c>
      <c r="AA131" s="156">
        <f t="shared" si="154"/>
        <v>9760.125</v>
      </c>
      <c r="AB131" s="157">
        <f t="shared" si="154"/>
        <v>6832.0875000000015</v>
      </c>
      <c r="AC131" s="157">
        <f t="shared" si="154"/>
        <v>6832.0875000000015</v>
      </c>
      <c r="AD131" s="158">
        <f t="shared" si="154"/>
        <v>6832.0875000000015</v>
      </c>
      <c r="AE131" s="159">
        <f t="shared" si="154"/>
        <v>30256.387500000012</v>
      </c>
      <c r="AF131" s="156">
        <f t="shared" si="154"/>
        <v>6832.0875000000015</v>
      </c>
      <c r="AG131" s="157">
        <f t="shared" si="154"/>
        <v>6832.0875000000015</v>
      </c>
      <c r="AH131" s="157">
        <f t="shared" si="154"/>
        <v>6832.0875000000015</v>
      </c>
      <c r="AI131" s="158">
        <f t="shared" si="154"/>
        <v>13664.175000000003</v>
      </c>
      <c r="AJ131" s="156">
        <f t="shared" si="154"/>
        <v>34160.4375</v>
      </c>
      <c r="AK131" s="61">
        <f t="shared" si="137"/>
        <v>4.6632435259311725E-2</v>
      </c>
    </row>
    <row r="132" spans="2:37" ht="22.15" hidden="1" customHeight="1" outlineLevel="1" x14ac:dyDescent="0.25">
      <c r="B132" s="1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241"/>
    </row>
    <row r="133" spans="2:37" ht="22.15" customHeight="1" collapsed="1" thickBot="1" x14ac:dyDescent="0.3">
      <c r="B133" s="96" t="s">
        <v>94</v>
      </c>
      <c r="C133" s="167">
        <f t="shared" ref="C133:AJ133" si="155">C37-C85</f>
        <v>68320.875</v>
      </c>
      <c r="D133" s="168">
        <f t="shared" si="155"/>
        <v>0</v>
      </c>
      <c r="E133" s="168">
        <f t="shared" si="155"/>
        <v>27328.350000000006</v>
      </c>
      <c r="F133" s="168">
        <f t="shared" si="155"/>
        <v>0</v>
      </c>
      <c r="G133" s="168">
        <f t="shared" si="155"/>
        <v>0</v>
      </c>
      <c r="H133" s="168">
        <f t="shared" si="155"/>
        <v>0</v>
      </c>
      <c r="I133" s="168">
        <f t="shared" si="155"/>
        <v>47824.612499999988</v>
      </c>
      <c r="J133" s="168">
        <f t="shared" si="155"/>
        <v>0</v>
      </c>
      <c r="K133" s="168">
        <f t="shared" si="155"/>
        <v>27328.350000000006</v>
      </c>
      <c r="L133" s="168">
        <f t="shared" si="155"/>
        <v>0</v>
      </c>
      <c r="M133" s="168">
        <f t="shared" si="155"/>
        <v>0</v>
      </c>
      <c r="N133" s="169">
        <f t="shared" si="155"/>
        <v>0</v>
      </c>
      <c r="O133" s="167">
        <f t="shared" si="155"/>
        <v>47824.612499999988</v>
      </c>
      <c r="P133" s="168">
        <f t="shared" si="155"/>
        <v>0</v>
      </c>
      <c r="Q133" s="168">
        <f t="shared" si="155"/>
        <v>27328.350000000006</v>
      </c>
      <c r="R133" s="168">
        <f t="shared" si="155"/>
        <v>0</v>
      </c>
      <c r="S133" s="168">
        <f t="shared" si="155"/>
        <v>0</v>
      </c>
      <c r="T133" s="168">
        <f t="shared" si="155"/>
        <v>0</v>
      </c>
      <c r="U133" s="168">
        <f t="shared" si="155"/>
        <v>47824.612499999988</v>
      </c>
      <c r="V133" s="168">
        <f t="shared" si="155"/>
        <v>0</v>
      </c>
      <c r="W133" s="168">
        <f t="shared" si="155"/>
        <v>27328.350000000006</v>
      </c>
      <c r="X133" s="168">
        <f t="shared" si="155"/>
        <v>40992.524999999994</v>
      </c>
      <c r="Y133" s="168">
        <f t="shared" si="155"/>
        <v>0</v>
      </c>
      <c r="Z133" s="169">
        <f t="shared" si="155"/>
        <v>0</v>
      </c>
      <c r="AA133" s="167">
        <f t="shared" si="155"/>
        <v>68320.875</v>
      </c>
      <c r="AB133" s="168">
        <f t="shared" si="155"/>
        <v>27328.350000000006</v>
      </c>
      <c r="AC133" s="168">
        <f t="shared" si="155"/>
        <v>47824.612499999988</v>
      </c>
      <c r="AD133" s="169">
        <f t="shared" si="155"/>
        <v>27328.350000000006</v>
      </c>
      <c r="AE133" s="170">
        <f t="shared" si="155"/>
        <v>170802.1875</v>
      </c>
      <c r="AF133" s="167">
        <f t="shared" si="155"/>
        <v>47824.612499999988</v>
      </c>
      <c r="AG133" s="168">
        <f t="shared" si="155"/>
        <v>27328.350000000006</v>
      </c>
      <c r="AH133" s="168">
        <f t="shared" si="155"/>
        <v>47824.612499999988</v>
      </c>
      <c r="AI133" s="169">
        <f t="shared" si="155"/>
        <v>68320.875</v>
      </c>
      <c r="AJ133" s="172">
        <f t="shared" si="155"/>
        <v>191298.44999999995</v>
      </c>
      <c r="AK133" s="61">
        <f t="shared" si="137"/>
        <v>0.26213081032128249</v>
      </c>
    </row>
    <row r="134" spans="2:37" ht="22.15" customHeight="1" thickTop="1" x14ac:dyDescent="0.25">
      <c r="B134" s="89" t="s">
        <v>87</v>
      </c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241"/>
    </row>
    <row r="135" spans="2:37" ht="22.15" hidden="1" customHeight="1" outlineLevel="1" x14ac:dyDescent="0.25">
      <c r="B135" s="91" t="s">
        <v>45</v>
      </c>
      <c r="C135" s="144">
        <f t="shared" ref="C135:AJ135" si="156">C39-C87</f>
        <v>0</v>
      </c>
      <c r="D135" s="145">
        <f t="shared" si="156"/>
        <v>0</v>
      </c>
      <c r="E135" s="145">
        <f t="shared" si="156"/>
        <v>0</v>
      </c>
      <c r="F135" s="145">
        <f t="shared" si="156"/>
        <v>73.080000000000013</v>
      </c>
      <c r="G135" s="145">
        <f t="shared" si="156"/>
        <v>73.56618499999999</v>
      </c>
      <c r="H135" s="145">
        <f t="shared" si="156"/>
        <v>74.055604480763876</v>
      </c>
      <c r="I135" s="145">
        <f t="shared" si="156"/>
        <v>74.54827996057341</v>
      </c>
      <c r="J135" s="145">
        <f t="shared" si="156"/>
        <v>75.044233100866634</v>
      </c>
      <c r="K135" s="145">
        <f t="shared" si="156"/>
        <v>75.54348570719047</v>
      </c>
      <c r="L135" s="145">
        <f t="shared" si="156"/>
        <v>76.046059730159143</v>
      </c>
      <c r="M135" s="145">
        <f t="shared" si="156"/>
        <v>76.551977266419513</v>
      </c>
      <c r="N135" s="146">
        <f t="shared" si="156"/>
        <v>77.061260559622482</v>
      </c>
      <c r="O135" s="144">
        <f t="shared" si="156"/>
        <v>77.573932001401076</v>
      </c>
      <c r="P135" s="145">
        <f t="shared" si="156"/>
        <v>78.090014132354824</v>
      </c>
      <c r="Q135" s="145">
        <f t="shared" si="156"/>
        <v>78.609529643040915</v>
      </c>
      <c r="R135" s="145">
        <f t="shared" si="156"/>
        <v>79.132501374971682</v>
      </c>
      <c r="S135" s="145">
        <f t="shared" si="156"/>
        <v>79.658952321619054</v>
      </c>
      <c r="T135" s="145">
        <f t="shared" si="156"/>
        <v>80.188905629425378</v>
      </c>
      <c r="U135" s="145">
        <f t="shared" si="156"/>
        <v>80.722384598821122</v>
      </c>
      <c r="V135" s="145">
        <f t="shared" si="156"/>
        <v>81.259412685249373</v>
      </c>
      <c r="W135" s="145">
        <f t="shared" si="156"/>
        <v>81.800013500197053</v>
      </c>
      <c r="X135" s="145">
        <f t="shared" si="156"/>
        <v>82.344210812233086</v>
      </c>
      <c r="Y135" s="145">
        <f t="shared" si="156"/>
        <v>82.892028548053361</v>
      </c>
      <c r="Z135" s="146">
        <f t="shared" si="156"/>
        <v>83.44349079353276</v>
      </c>
      <c r="AA135" s="144">
        <f t="shared" si="156"/>
        <v>153.613237826042</v>
      </c>
      <c r="AB135" s="145">
        <f t="shared" si="156"/>
        <v>73.080000000000013</v>
      </c>
      <c r="AC135" s="145">
        <f t="shared" si="156"/>
        <v>222.17006944133726</v>
      </c>
      <c r="AD135" s="146">
        <f t="shared" si="156"/>
        <v>226.63377853821623</v>
      </c>
      <c r="AE135" s="148">
        <f t="shared" si="156"/>
        <v>675.49708580559547</v>
      </c>
      <c r="AF135" s="144">
        <f t="shared" si="156"/>
        <v>243.90945134298721</v>
      </c>
      <c r="AG135" s="145">
        <f t="shared" si="156"/>
        <v>235.83204515036738</v>
      </c>
      <c r="AH135" s="145">
        <f t="shared" si="156"/>
        <v>240.5702425498655</v>
      </c>
      <c r="AI135" s="146">
        <f t="shared" si="156"/>
        <v>245.40363699767954</v>
      </c>
      <c r="AJ135" s="149">
        <f t="shared" si="156"/>
        <v>965.71537604089963</v>
      </c>
      <c r="AK135" s="238">
        <f t="shared" si="137"/>
        <v>1.1881016159028682E-3</v>
      </c>
    </row>
    <row r="136" spans="2:37" ht="22.15" hidden="1" customHeight="1" outlineLevel="1" x14ac:dyDescent="0.25">
      <c r="B136" s="91" t="s">
        <v>46</v>
      </c>
      <c r="C136" s="150">
        <f t="shared" ref="C136:AJ136" si="157">C40-C88</f>
        <v>0</v>
      </c>
      <c r="D136" s="151">
        <f t="shared" si="157"/>
        <v>0</v>
      </c>
      <c r="E136" s="151">
        <f t="shared" si="157"/>
        <v>0</v>
      </c>
      <c r="F136" s="151">
        <f t="shared" si="157"/>
        <v>60.560000000000016</v>
      </c>
      <c r="G136" s="151">
        <f t="shared" si="157"/>
        <v>60.710979444444447</v>
      </c>
      <c r="H136" s="151">
        <f t="shared" si="157"/>
        <v>60.862335289031634</v>
      </c>
      <c r="I136" s="151">
        <f t="shared" si="157"/>
        <v>61.014068472148026</v>
      </c>
      <c r="J136" s="151">
        <f t="shared" si="157"/>
        <v>61.166179934519562</v>
      </c>
      <c r="K136" s="151">
        <f t="shared" si="157"/>
        <v>61.318670619217414</v>
      </c>
      <c r="L136" s="151">
        <f t="shared" si="157"/>
        <v>61.471541471663926</v>
      </c>
      <c r="M136" s="151">
        <f t="shared" si="157"/>
        <v>61.624793439638424</v>
      </c>
      <c r="N136" s="152">
        <f t="shared" si="157"/>
        <v>61.778427473283102</v>
      </c>
      <c r="O136" s="150">
        <f t="shared" si="157"/>
        <v>61.932444525108863</v>
      </c>
      <c r="P136" s="151">
        <f t="shared" si="157"/>
        <v>62.086845550001328</v>
      </c>
      <c r="Q136" s="151">
        <f t="shared" si="157"/>
        <v>62.241631505226692</v>
      </c>
      <c r="R136" s="151">
        <f t="shared" si="157"/>
        <v>62.396803350437636</v>
      </c>
      <c r="S136" s="151">
        <f t="shared" si="157"/>
        <v>62.552362047679367</v>
      </c>
      <c r="T136" s="151">
        <f t="shared" si="157"/>
        <v>62.708308561395441</v>
      </c>
      <c r="U136" s="151">
        <f t="shared" si="157"/>
        <v>62.864643858433936</v>
      </c>
      <c r="V136" s="151">
        <f t="shared" si="157"/>
        <v>63.021368908053205</v>
      </c>
      <c r="W136" s="151">
        <f t="shared" si="157"/>
        <v>63.178484681928154</v>
      </c>
      <c r="X136" s="151">
        <f t="shared" si="157"/>
        <v>63.335992154156017</v>
      </c>
      <c r="Y136" s="151">
        <f t="shared" si="157"/>
        <v>63.493892301262548</v>
      </c>
      <c r="Z136" s="152">
        <f t="shared" si="157"/>
        <v>63.652186102208034</v>
      </c>
      <c r="AA136" s="150">
        <f t="shared" si="157"/>
        <v>123.40322091292148</v>
      </c>
      <c r="AB136" s="151">
        <f t="shared" si="157"/>
        <v>60.560000000000016</v>
      </c>
      <c r="AC136" s="151">
        <f t="shared" si="157"/>
        <v>182.58738320562412</v>
      </c>
      <c r="AD136" s="152">
        <f t="shared" si="157"/>
        <v>183.95639202540087</v>
      </c>
      <c r="AE136" s="154">
        <f t="shared" si="157"/>
        <v>550.50699614394671</v>
      </c>
      <c r="AF136" s="150">
        <f t="shared" si="157"/>
        <v>189.07852292857945</v>
      </c>
      <c r="AG136" s="151">
        <f t="shared" si="157"/>
        <v>186.72528040566561</v>
      </c>
      <c r="AH136" s="151">
        <f t="shared" si="157"/>
        <v>188.12531446750873</v>
      </c>
      <c r="AI136" s="152">
        <f t="shared" si="157"/>
        <v>189.53584574413736</v>
      </c>
      <c r="AJ136" s="155">
        <f t="shared" si="157"/>
        <v>753.46496354589112</v>
      </c>
      <c r="AK136" s="60">
        <f t="shared" si="137"/>
        <v>9.43967480393425E-4</v>
      </c>
    </row>
    <row r="137" spans="2:37" ht="22.15" hidden="1" customHeight="1" outlineLevel="1" x14ac:dyDescent="0.25">
      <c r="B137" s="91" t="s">
        <v>47</v>
      </c>
      <c r="C137" s="150">
        <f t="shared" ref="C137:AJ137" si="158">C41-C89</f>
        <v>0</v>
      </c>
      <c r="D137" s="151">
        <f t="shared" si="158"/>
        <v>0</v>
      </c>
      <c r="E137" s="151">
        <f t="shared" si="158"/>
        <v>0</v>
      </c>
      <c r="F137" s="151">
        <f t="shared" si="158"/>
        <v>104.00000000000003</v>
      </c>
      <c r="G137" s="151">
        <f t="shared" si="158"/>
        <v>104.25927777777781</v>
      </c>
      <c r="H137" s="151">
        <f t="shared" si="158"/>
        <v>104.51920194945987</v>
      </c>
      <c r="I137" s="151">
        <f t="shared" si="158"/>
        <v>104.77977412654221</v>
      </c>
      <c r="J137" s="151">
        <f t="shared" si="158"/>
        <v>105.04099592453827</v>
      </c>
      <c r="K137" s="151">
        <f t="shared" si="158"/>
        <v>105.30286896298901</v>
      </c>
      <c r="L137" s="151">
        <f t="shared" si="158"/>
        <v>105.56539486547317</v>
      </c>
      <c r="M137" s="151">
        <f t="shared" si="158"/>
        <v>105.82857525961697</v>
      </c>
      <c r="N137" s="152">
        <f t="shared" si="158"/>
        <v>106.09241177710447</v>
      </c>
      <c r="O137" s="150">
        <f t="shared" si="158"/>
        <v>106.35690605368768</v>
      </c>
      <c r="P137" s="151">
        <f t="shared" si="158"/>
        <v>106.62205972919654</v>
      </c>
      <c r="Q137" s="151">
        <f t="shared" si="158"/>
        <v>106.88787444754917</v>
      </c>
      <c r="R137" s="151">
        <f t="shared" si="158"/>
        <v>107.15435185676216</v>
      </c>
      <c r="S137" s="151">
        <f t="shared" si="158"/>
        <v>107.42149360896062</v>
      </c>
      <c r="T137" s="151">
        <f t="shared" si="158"/>
        <v>107.68930136038853</v>
      </c>
      <c r="U137" s="151">
        <f t="shared" si="158"/>
        <v>107.95777677141893</v>
      </c>
      <c r="V137" s="151">
        <f t="shared" si="158"/>
        <v>108.22692150656437</v>
      </c>
      <c r="W137" s="151">
        <f t="shared" si="158"/>
        <v>108.49673723448697</v>
      </c>
      <c r="X137" s="151">
        <f t="shared" si="158"/>
        <v>108.76722562800907</v>
      </c>
      <c r="Y137" s="151">
        <f t="shared" si="158"/>
        <v>109.03838836412334</v>
      </c>
      <c r="Z137" s="152">
        <f t="shared" si="158"/>
        <v>109.31022712400332</v>
      </c>
      <c r="AA137" s="150">
        <f t="shared" si="158"/>
        <v>211.92098703672144</v>
      </c>
      <c r="AB137" s="151">
        <f t="shared" si="158"/>
        <v>104.00000000000003</v>
      </c>
      <c r="AC137" s="151">
        <f t="shared" si="158"/>
        <v>313.55825385377989</v>
      </c>
      <c r="AD137" s="152">
        <f t="shared" si="158"/>
        <v>315.90925975300036</v>
      </c>
      <c r="AE137" s="154">
        <f t="shared" si="158"/>
        <v>945.38850064350208</v>
      </c>
      <c r="AF137" s="150">
        <f t="shared" si="158"/>
        <v>324.70552154181439</v>
      </c>
      <c r="AG137" s="151">
        <f t="shared" si="158"/>
        <v>320.66428603350789</v>
      </c>
      <c r="AH137" s="151">
        <f t="shared" si="158"/>
        <v>323.06857174076811</v>
      </c>
      <c r="AI137" s="152">
        <f t="shared" si="158"/>
        <v>325.49088436906038</v>
      </c>
      <c r="AJ137" s="155">
        <f t="shared" si="158"/>
        <v>1293.9292636851505</v>
      </c>
      <c r="AK137" s="60">
        <f t="shared" si="137"/>
        <v>1.6210802173202816E-3</v>
      </c>
    </row>
    <row r="138" spans="2:37" ht="22.15" hidden="1" customHeight="1" outlineLevel="1" x14ac:dyDescent="0.25">
      <c r="B138" s="91" t="s">
        <v>48</v>
      </c>
      <c r="C138" s="150">
        <f t="shared" ref="C138:AJ138" si="159">C42-C90</f>
        <v>0</v>
      </c>
      <c r="D138" s="151">
        <f t="shared" si="159"/>
        <v>0</v>
      </c>
      <c r="E138" s="151">
        <f t="shared" si="159"/>
        <v>0</v>
      </c>
      <c r="F138" s="151">
        <f t="shared" si="159"/>
        <v>136</v>
      </c>
      <c r="G138" s="151">
        <f t="shared" si="159"/>
        <v>136.33905555555552</v>
      </c>
      <c r="H138" s="151">
        <f t="shared" si="159"/>
        <v>136.6789563954475</v>
      </c>
      <c r="I138" s="151">
        <f t="shared" si="159"/>
        <v>137.01970462701672</v>
      </c>
      <c r="J138" s="151">
        <f t="shared" si="159"/>
        <v>137.36130236285771</v>
      </c>
      <c r="K138" s="151">
        <f t="shared" si="159"/>
        <v>137.70375172083175</v>
      </c>
      <c r="L138" s="151">
        <f t="shared" si="159"/>
        <v>138.04705482408019</v>
      </c>
      <c r="M138" s="151">
        <f t="shared" si="159"/>
        <v>138.39121380103748</v>
      </c>
      <c r="N138" s="152">
        <f t="shared" si="159"/>
        <v>138.73623078544421</v>
      </c>
      <c r="O138" s="150">
        <f t="shared" si="159"/>
        <v>139.08210791636068</v>
      </c>
      <c r="P138" s="151">
        <f t="shared" si="159"/>
        <v>139.42884733817991</v>
      </c>
      <c r="Q138" s="151">
        <f t="shared" si="159"/>
        <v>139.77645120064108</v>
      </c>
      <c r="R138" s="151">
        <f t="shared" si="159"/>
        <v>140.12492165884268</v>
      </c>
      <c r="S138" s="151">
        <f t="shared" si="159"/>
        <v>140.47426087325607</v>
      </c>
      <c r="T138" s="151">
        <f t="shared" si="159"/>
        <v>140.82447100973872</v>
      </c>
      <c r="U138" s="151">
        <f t="shared" si="159"/>
        <v>141.17555423954769</v>
      </c>
      <c r="V138" s="151">
        <f t="shared" si="159"/>
        <v>141.52751273935326</v>
      </c>
      <c r="W138" s="151">
        <f t="shared" si="159"/>
        <v>141.88034869125207</v>
      </c>
      <c r="X138" s="151">
        <f t="shared" si="159"/>
        <v>142.23406428278093</v>
      </c>
      <c r="Y138" s="151">
        <f t="shared" si="159"/>
        <v>142.58866170693034</v>
      </c>
      <c r="Z138" s="152">
        <f t="shared" si="159"/>
        <v>142.94414316215804</v>
      </c>
      <c r="AA138" s="150">
        <f t="shared" si="159"/>
        <v>277.12744458648172</v>
      </c>
      <c r="AB138" s="151">
        <f t="shared" si="159"/>
        <v>136</v>
      </c>
      <c r="AC138" s="151">
        <f t="shared" si="159"/>
        <v>410.03771657801985</v>
      </c>
      <c r="AD138" s="152">
        <f t="shared" si="159"/>
        <v>413.11210890776965</v>
      </c>
      <c r="AE138" s="154">
        <f t="shared" si="159"/>
        <v>1236.2772700722712</v>
      </c>
      <c r="AF138" s="150">
        <f t="shared" si="159"/>
        <v>424.61491278544918</v>
      </c>
      <c r="AG138" s="151">
        <f t="shared" si="159"/>
        <v>419.33022019766372</v>
      </c>
      <c r="AH138" s="151">
        <f t="shared" si="159"/>
        <v>422.47428612254248</v>
      </c>
      <c r="AI138" s="152">
        <f t="shared" si="159"/>
        <v>425.64192571338629</v>
      </c>
      <c r="AJ138" s="155">
        <f t="shared" si="159"/>
        <v>1692.0613448190411</v>
      </c>
      <c r="AK138" s="60">
        <f t="shared" si="137"/>
        <v>2.1198741303419047E-3</v>
      </c>
    </row>
    <row r="139" spans="2:37" ht="22.15" hidden="1" customHeight="1" outlineLevel="1" x14ac:dyDescent="0.25">
      <c r="B139" s="91" t="s">
        <v>49</v>
      </c>
      <c r="C139" s="161">
        <f t="shared" ref="C139:AJ139" si="160">C43-C91</f>
        <v>0</v>
      </c>
      <c r="D139" s="162">
        <f t="shared" si="160"/>
        <v>0</v>
      </c>
      <c r="E139" s="162">
        <f t="shared" si="160"/>
        <v>0</v>
      </c>
      <c r="F139" s="162">
        <f t="shared" si="160"/>
        <v>34.840000000000003</v>
      </c>
      <c r="G139" s="162">
        <f t="shared" si="160"/>
        <v>34.926858055555549</v>
      </c>
      <c r="H139" s="162">
        <f t="shared" si="160"/>
        <v>35.013932653069041</v>
      </c>
      <c r="I139" s="162">
        <f t="shared" si="160"/>
        <v>35.101224332391617</v>
      </c>
      <c r="J139" s="162">
        <f t="shared" si="160"/>
        <v>35.188733634720286</v>
      </c>
      <c r="K139" s="162">
        <f t="shared" si="160"/>
        <v>35.276461102601289</v>
      </c>
      <c r="L139" s="162">
        <f t="shared" si="160"/>
        <v>35.364407279933467</v>
      </c>
      <c r="M139" s="162">
        <f t="shared" si="160"/>
        <v>35.452572711971641</v>
      </c>
      <c r="N139" s="171">
        <f t="shared" si="160"/>
        <v>35.540957945329957</v>
      </c>
      <c r="O139" s="161">
        <f t="shared" si="160"/>
        <v>35.629563527985326</v>
      </c>
      <c r="P139" s="162">
        <f t="shared" si="160"/>
        <v>35.718390009280782</v>
      </c>
      <c r="Q139" s="162">
        <f t="shared" si="160"/>
        <v>35.807437939928917</v>
      </c>
      <c r="R139" s="162">
        <f t="shared" si="160"/>
        <v>35.89670787201527</v>
      </c>
      <c r="S139" s="162">
        <f t="shared" si="160"/>
        <v>35.986200359001742</v>
      </c>
      <c r="T139" s="162">
        <f t="shared" si="160"/>
        <v>36.075915955730082</v>
      </c>
      <c r="U139" s="162">
        <f t="shared" si="160"/>
        <v>36.165855218425271</v>
      </c>
      <c r="V139" s="162">
        <f t="shared" si="160"/>
        <v>36.256018704698974</v>
      </c>
      <c r="W139" s="162">
        <f t="shared" si="160"/>
        <v>36.346406973553044</v>
      </c>
      <c r="X139" s="162">
        <f t="shared" si="160"/>
        <v>36.437020585382939</v>
      </c>
      <c r="Y139" s="162">
        <f t="shared" si="160"/>
        <v>36.527860101981226</v>
      </c>
      <c r="Z139" s="171">
        <f t="shared" si="160"/>
        <v>36.618926086541023</v>
      </c>
      <c r="AA139" s="161">
        <f t="shared" si="160"/>
        <v>70.993530657301591</v>
      </c>
      <c r="AB139" s="162">
        <f t="shared" si="160"/>
        <v>34.840000000000003</v>
      </c>
      <c r="AC139" s="162">
        <f t="shared" si="160"/>
        <v>105.04201504101619</v>
      </c>
      <c r="AD139" s="171">
        <f t="shared" si="160"/>
        <v>105.82960201725504</v>
      </c>
      <c r="AE139" s="154">
        <f t="shared" si="160"/>
        <v>316.70514771557276</v>
      </c>
      <c r="AF139" s="150">
        <f t="shared" si="160"/>
        <v>108.77634971650755</v>
      </c>
      <c r="AG139" s="151">
        <f t="shared" si="160"/>
        <v>107.42253582122495</v>
      </c>
      <c r="AH139" s="151">
        <f t="shared" si="160"/>
        <v>108.22797153315707</v>
      </c>
      <c r="AI139" s="152">
        <f t="shared" si="160"/>
        <v>109.03944626363494</v>
      </c>
      <c r="AJ139" s="155">
        <f t="shared" si="160"/>
        <v>433.46630333452458</v>
      </c>
      <c r="AK139" s="60">
        <f t="shared" si="137"/>
        <v>5.4306187280229339E-4</v>
      </c>
    </row>
    <row r="140" spans="2:37" ht="22.15" customHeight="1" collapsed="1" thickBot="1" x14ac:dyDescent="0.3">
      <c r="B140" s="96" t="s">
        <v>88</v>
      </c>
      <c r="C140" s="172">
        <f t="shared" ref="C140:AJ140" si="161">C44-C92</f>
        <v>0</v>
      </c>
      <c r="D140" s="173">
        <f t="shared" si="161"/>
        <v>0</v>
      </c>
      <c r="E140" s="173">
        <f t="shared" si="161"/>
        <v>0</v>
      </c>
      <c r="F140" s="173">
        <f t="shared" si="161"/>
        <v>408.48</v>
      </c>
      <c r="G140" s="173">
        <f t="shared" si="161"/>
        <v>409.80235583333319</v>
      </c>
      <c r="H140" s="173">
        <f t="shared" si="161"/>
        <v>411.13003076777181</v>
      </c>
      <c r="I140" s="173">
        <f t="shared" si="161"/>
        <v>412.46305151867205</v>
      </c>
      <c r="J140" s="173">
        <f t="shared" si="161"/>
        <v>413.80144495750244</v>
      </c>
      <c r="K140" s="173">
        <f t="shared" si="161"/>
        <v>415.1452381128297</v>
      </c>
      <c r="L140" s="173">
        <f t="shared" si="161"/>
        <v>416.49445817130982</v>
      </c>
      <c r="M140" s="173">
        <f t="shared" si="161"/>
        <v>417.84913247868394</v>
      </c>
      <c r="N140" s="174">
        <f t="shared" si="161"/>
        <v>419.20928854078431</v>
      </c>
      <c r="O140" s="172">
        <f t="shared" si="161"/>
        <v>420.57495402454367</v>
      </c>
      <c r="P140" s="173">
        <f t="shared" si="161"/>
        <v>421.94615675901332</v>
      </c>
      <c r="Q140" s="173">
        <f t="shared" si="161"/>
        <v>423.32292473638665</v>
      </c>
      <c r="R140" s="173">
        <f t="shared" si="161"/>
        <v>424.70528611302939</v>
      </c>
      <c r="S140" s="173">
        <f t="shared" si="161"/>
        <v>426.09326921051672</v>
      </c>
      <c r="T140" s="173">
        <f t="shared" si="161"/>
        <v>427.48690251667801</v>
      </c>
      <c r="U140" s="173">
        <f t="shared" si="161"/>
        <v>428.88621468664689</v>
      </c>
      <c r="V140" s="173">
        <f t="shared" si="161"/>
        <v>430.29123454391902</v>
      </c>
      <c r="W140" s="173">
        <f t="shared" si="161"/>
        <v>431.7019910814173</v>
      </c>
      <c r="X140" s="173">
        <f t="shared" si="161"/>
        <v>433.11851346256208</v>
      </c>
      <c r="Y140" s="173">
        <f t="shared" si="161"/>
        <v>434.54083102235074</v>
      </c>
      <c r="Z140" s="174">
        <f t="shared" si="161"/>
        <v>435.96897326844316</v>
      </c>
      <c r="AA140" s="172">
        <f t="shared" si="161"/>
        <v>837.05842101946814</v>
      </c>
      <c r="AB140" s="173">
        <f t="shared" si="161"/>
        <v>408.48</v>
      </c>
      <c r="AC140" s="173">
        <f t="shared" si="161"/>
        <v>1233.3954381197777</v>
      </c>
      <c r="AD140" s="174">
        <f t="shared" si="161"/>
        <v>1245.4411412416423</v>
      </c>
      <c r="AE140" s="170">
        <f t="shared" si="161"/>
        <v>3724.3750003808855</v>
      </c>
      <c r="AF140" s="172">
        <f t="shared" si="161"/>
        <v>1291.0847583153377</v>
      </c>
      <c r="AG140" s="173">
        <f t="shared" si="161"/>
        <v>1269.9743676084295</v>
      </c>
      <c r="AH140" s="173">
        <f t="shared" si="161"/>
        <v>1282.4663864138422</v>
      </c>
      <c r="AI140" s="174">
        <f t="shared" si="161"/>
        <v>1295.1117390878987</v>
      </c>
      <c r="AJ140" s="172">
        <f t="shared" si="161"/>
        <v>5138.6372514255081</v>
      </c>
      <c r="AK140" s="61">
        <f t="shared" si="137"/>
        <v>6.4160853167607723E-3</v>
      </c>
    </row>
    <row r="141" spans="2:37" ht="22.15" customHeight="1" thickTop="1" x14ac:dyDescent="0.25">
      <c r="B141" s="89" t="s">
        <v>89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41"/>
    </row>
    <row r="142" spans="2:37" ht="22.15" hidden="1" customHeight="1" outlineLevel="1" x14ac:dyDescent="0.25">
      <c r="B142" s="100" t="s">
        <v>27</v>
      </c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241"/>
    </row>
    <row r="143" spans="2:37" ht="22.15" hidden="1" customHeight="1" outlineLevel="1" x14ac:dyDescent="0.25">
      <c r="B143" s="91" t="s">
        <v>25</v>
      </c>
      <c r="C143" s="144">
        <f t="shared" ref="C143:AJ143" si="162">C47-C95</f>
        <v>10000</v>
      </c>
      <c r="D143" s="145">
        <f t="shared" si="162"/>
        <v>0</v>
      </c>
      <c r="E143" s="145">
        <f t="shared" si="162"/>
        <v>0</v>
      </c>
      <c r="F143" s="145">
        <f t="shared" si="162"/>
        <v>0</v>
      </c>
      <c r="G143" s="145">
        <f t="shared" si="162"/>
        <v>0</v>
      </c>
      <c r="H143" s="145">
        <f t="shared" si="162"/>
        <v>0</v>
      </c>
      <c r="I143" s="145">
        <f t="shared" si="162"/>
        <v>0</v>
      </c>
      <c r="J143" s="145">
        <f t="shared" si="162"/>
        <v>0</v>
      </c>
      <c r="K143" s="145">
        <f t="shared" si="162"/>
        <v>0</v>
      </c>
      <c r="L143" s="145">
        <f t="shared" si="162"/>
        <v>0</v>
      </c>
      <c r="M143" s="145">
        <f t="shared" si="162"/>
        <v>0</v>
      </c>
      <c r="N143" s="175">
        <f t="shared" si="162"/>
        <v>0</v>
      </c>
      <c r="O143" s="144">
        <f t="shared" si="162"/>
        <v>10000</v>
      </c>
      <c r="P143" s="145">
        <f t="shared" si="162"/>
        <v>0</v>
      </c>
      <c r="Q143" s="145">
        <f t="shared" si="162"/>
        <v>0</v>
      </c>
      <c r="R143" s="145">
        <f t="shared" si="162"/>
        <v>0</v>
      </c>
      <c r="S143" s="145">
        <f t="shared" si="162"/>
        <v>0</v>
      </c>
      <c r="T143" s="145">
        <f t="shared" si="162"/>
        <v>0</v>
      </c>
      <c r="U143" s="145">
        <f t="shared" si="162"/>
        <v>0</v>
      </c>
      <c r="V143" s="145">
        <f t="shared" si="162"/>
        <v>0</v>
      </c>
      <c r="W143" s="145">
        <f t="shared" si="162"/>
        <v>0</v>
      </c>
      <c r="X143" s="145">
        <f t="shared" si="162"/>
        <v>0</v>
      </c>
      <c r="Y143" s="145">
        <f t="shared" si="162"/>
        <v>0</v>
      </c>
      <c r="Z143" s="146">
        <f t="shared" si="162"/>
        <v>0</v>
      </c>
      <c r="AA143" s="147">
        <f t="shared" si="162"/>
        <v>10000</v>
      </c>
      <c r="AB143" s="145">
        <f t="shared" si="162"/>
        <v>0</v>
      </c>
      <c r="AC143" s="145">
        <f t="shared" si="162"/>
        <v>0</v>
      </c>
      <c r="AD143" s="146">
        <f t="shared" si="162"/>
        <v>0</v>
      </c>
      <c r="AE143" s="148">
        <f t="shared" si="162"/>
        <v>10000</v>
      </c>
      <c r="AF143" s="144">
        <f t="shared" si="162"/>
        <v>10000</v>
      </c>
      <c r="AG143" s="145">
        <f t="shared" si="162"/>
        <v>0</v>
      </c>
      <c r="AH143" s="145">
        <f t="shared" si="162"/>
        <v>0</v>
      </c>
      <c r="AI143" s="146">
        <f t="shared" si="162"/>
        <v>0</v>
      </c>
      <c r="AJ143" s="176">
        <f t="shared" si="162"/>
        <v>10000</v>
      </c>
      <c r="AK143" s="238">
        <f t="shared" si="137"/>
        <v>1.4478340172559489E-2</v>
      </c>
    </row>
    <row r="144" spans="2:37" ht="22.15" hidden="1" customHeight="1" outlineLevel="1" x14ac:dyDescent="0.25">
      <c r="B144" s="91" t="s">
        <v>66</v>
      </c>
      <c r="C144" s="150">
        <f t="shared" ref="C144:AJ144" si="163">C48-C96</f>
        <v>63.825000000000003</v>
      </c>
      <c r="D144" s="151">
        <f t="shared" si="163"/>
        <v>63.825000000000003</v>
      </c>
      <c r="E144" s="151">
        <f t="shared" si="163"/>
        <v>63.825000000000003</v>
      </c>
      <c r="F144" s="151">
        <f t="shared" si="163"/>
        <v>63.825000000000003</v>
      </c>
      <c r="G144" s="151">
        <f t="shared" si="163"/>
        <v>63.825000000000003</v>
      </c>
      <c r="H144" s="151">
        <f t="shared" si="163"/>
        <v>63.825000000000003</v>
      </c>
      <c r="I144" s="151">
        <f t="shared" si="163"/>
        <v>63.825000000000003</v>
      </c>
      <c r="J144" s="151">
        <f t="shared" si="163"/>
        <v>63.825000000000003</v>
      </c>
      <c r="K144" s="151">
        <f t="shared" si="163"/>
        <v>63.825000000000003</v>
      </c>
      <c r="L144" s="151">
        <f t="shared" si="163"/>
        <v>63.825000000000003</v>
      </c>
      <c r="M144" s="151">
        <f t="shared" si="163"/>
        <v>63.825000000000003</v>
      </c>
      <c r="N144" s="160">
        <f t="shared" si="163"/>
        <v>63.825000000000003</v>
      </c>
      <c r="O144" s="150">
        <f t="shared" si="163"/>
        <v>63.825000000000003</v>
      </c>
      <c r="P144" s="151">
        <f t="shared" si="163"/>
        <v>63.825000000000003</v>
      </c>
      <c r="Q144" s="151">
        <f t="shared" si="163"/>
        <v>63.825000000000003</v>
      </c>
      <c r="R144" s="151">
        <f t="shared" si="163"/>
        <v>63.825000000000003</v>
      </c>
      <c r="S144" s="151">
        <f t="shared" si="163"/>
        <v>63.825000000000003</v>
      </c>
      <c r="T144" s="151">
        <f t="shared" si="163"/>
        <v>63.825000000000003</v>
      </c>
      <c r="U144" s="151">
        <f t="shared" si="163"/>
        <v>63.825000000000003</v>
      </c>
      <c r="V144" s="151">
        <f t="shared" si="163"/>
        <v>63.825000000000003</v>
      </c>
      <c r="W144" s="151">
        <f t="shared" si="163"/>
        <v>63.825000000000003</v>
      </c>
      <c r="X144" s="151">
        <f t="shared" si="163"/>
        <v>63.825000000000003</v>
      </c>
      <c r="Y144" s="151">
        <f t="shared" si="163"/>
        <v>63.825000000000003</v>
      </c>
      <c r="Z144" s="152">
        <f t="shared" si="163"/>
        <v>63.825000000000003</v>
      </c>
      <c r="AA144" s="153">
        <f t="shared" si="163"/>
        <v>191.47500000000002</v>
      </c>
      <c r="AB144" s="151">
        <f t="shared" si="163"/>
        <v>191.47500000000002</v>
      </c>
      <c r="AC144" s="151">
        <f t="shared" si="163"/>
        <v>191.47500000000002</v>
      </c>
      <c r="AD144" s="152">
        <f t="shared" si="163"/>
        <v>191.47500000000002</v>
      </c>
      <c r="AE144" s="154">
        <f t="shared" si="163"/>
        <v>765.90000000000009</v>
      </c>
      <c r="AF144" s="150">
        <f t="shared" si="163"/>
        <v>191.47500000000002</v>
      </c>
      <c r="AG144" s="151">
        <f t="shared" si="163"/>
        <v>191.47500000000002</v>
      </c>
      <c r="AH144" s="151">
        <f t="shared" si="163"/>
        <v>191.47500000000002</v>
      </c>
      <c r="AI144" s="152">
        <f t="shared" si="163"/>
        <v>191.47500000000002</v>
      </c>
      <c r="AJ144" s="177">
        <f t="shared" si="163"/>
        <v>765.90000000000009</v>
      </c>
      <c r="AK144" s="60">
        <f t="shared" si="137"/>
        <v>1.1088960738163314E-3</v>
      </c>
    </row>
    <row r="145" spans="2:37" ht="22.15" hidden="1" customHeight="1" outlineLevel="1" x14ac:dyDescent="0.25">
      <c r="B145" s="102" t="s">
        <v>65</v>
      </c>
      <c r="C145" s="103">
        <f t="shared" ref="C145:AJ145" si="164">C49-C97</f>
        <v>41.666666666666664</v>
      </c>
      <c r="D145" s="104">
        <f t="shared" si="164"/>
        <v>41.666666666666664</v>
      </c>
      <c r="E145" s="104">
        <f t="shared" si="164"/>
        <v>41.666666666666664</v>
      </c>
      <c r="F145" s="104">
        <f t="shared" si="164"/>
        <v>41.666666666666664</v>
      </c>
      <c r="G145" s="104">
        <f t="shared" si="164"/>
        <v>41.666666666666664</v>
      </c>
      <c r="H145" s="104">
        <f t="shared" si="164"/>
        <v>41.666666666666664</v>
      </c>
      <c r="I145" s="104">
        <f t="shared" si="164"/>
        <v>41.666666666666664</v>
      </c>
      <c r="J145" s="104">
        <f t="shared" si="164"/>
        <v>41.666666666666664</v>
      </c>
      <c r="K145" s="104">
        <f t="shared" si="164"/>
        <v>41.666666666666664</v>
      </c>
      <c r="L145" s="104">
        <f t="shared" si="164"/>
        <v>41.666666666666664</v>
      </c>
      <c r="M145" s="104">
        <f t="shared" si="164"/>
        <v>41.666666666666664</v>
      </c>
      <c r="N145" s="105">
        <f t="shared" si="164"/>
        <v>41.666666666666664</v>
      </c>
      <c r="O145" s="103">
        <f t="shared" si="164"/>
        <v>41.666666666666664</v>
      </c>
      <c r="P145" s="104">
        <f t="shared" si="164"/>
        <v>41.666666666666664</v>
      </c>
      <c r="Q145" s="104">
        <f t="shared" si="164"/>
        <v>41.666666666666664</v>
      </c>
      <c r="R145" s="104">
        <f t="shared" si="164"/>
        <v>41.666666666666664</v>
      </c>
      <c r="S145" s="104">
        <f t="shared" si="164"/>
        <v>41.666666666666664</v>
      </c>
      <c r="T145" s="104">
        <f t="shared" si="164"/>
        <v>41.666666666666664</v>
      </c>
      <c r="U145" s="104">
        <f t="shared" si="164"/>
        <v>41.666666666666664</v>
      </c>
      <c r="V145" s="104">
        <f t="shared" si="164"/>
        <v>41.666666666666664</v>
      </c>
      <c r="W145" s="104">
        <f t="shared" si="164"/>
        <v>41.666666666666664</v>
      </c>
      <c r="X145" s="104">
        <f t="shared" si="164"/>
        <v>41.666666666666664</v>
      </c>
      <c r="Y145" s="104">
        <f t="shared" si="164"/>
        <v>41.666666666666664</v>
      </c>
      <c r="Z145" s="106">
        <f t="shared" si="164"/>
        <v>41.666666666666664</v>
      </c>
      <c r="AA145" s="107">
        <f t="shared" si="164"/>
        <v>125</v>
      </c>
      <c r="AB145" s="104">
        <f t="shared" si="164"/>
        <v>125</v>
      </c>
      <c r="AC145" s="104">
        <f t="shared" si="164"/>
        <v>125</v>
      </c>
      <c r="AD145" s="106">
        <f t="shared" si="164"/>
        <v>125</v>
      </c>
      <c r="AE145" s="108">
        <f t="shared" si="164"/>
        <v>500.00000000000006</v>
      </c>
      <c r="AF145" s="122">
        <f t="shared" si="164"/>
        <v>125</v>
      </c>
      <c r="AG145" s="123">
        <f t="shared" si="164"/>
        <v>125</v>
      </c>
      <c r="AH145" s="123">
        <f t="shared" si="164"/>
        <v>125</v>
      </c>
      <c r="AI145" s="124">
        <f t="shared" si="164"/>
        <v>125</v>
      </c>
      <c r="AJ145" s="125">
        <f t="shared" si="164"/>
        <v>500.00000000000006</v>
      </c>
      <c r="AK145" s="60">
        <f t="shared" si="137"/>
        <v>7.2391700862797445E-4</v>
      </c>
    </row>
    <row r="146" spans="2:37" ht="22.15" hidden="1" customHeight="1" outlineLevel="1" x14ac:dyDescent="0.25">
      <c r="B146" s="109" t="s">
        <v>90</v>
      </c>
      <c r="C146" s="110">
        <f t="shared" ref="C146:AJ146" si="165">C50-C98</f>
        <v>10063.825000000001</v>
      </c>
      <c r="D146" s="111">
        <f t="shared" si="165"/>
        <v>63.825000000000003</v>
      </c>
      <c r="E146" s="111">
        <f t="shared" si="165"/>
        <v>63.825000000000003</v>
      </c>
      <c r="F146" s="111">
        <f t="shared" si="165"/>
        <v>63.825000000000003</v>
      </c>
      <c r="G146" s="111">
        <f t="shared" si="165"/>
        <v>63.825000000000003</v>
      </c>
      <c r="H146" s="111">
        <f t="shared" si="165"/>
        <v>63.825000000000003</v>
      </c>
      <c r="I146" s="111">
        <f t="shared" si="165"/>
        <v>63.825000000000003</v>
      </c>
      <c r="J146" s="111">
        <f t="shared" si="165"/>
        <v>63.825000000000003</v>
      </c>
      <c r="K146" s="111">
        <f t="shared" si="165"/>
        <v>63.825000000000003</v>
      </c>
      <c r="L146" s="111">
        <f t="shared" si="165"/>
        <v>63.825000000000003</v>
      </c>
      <c r="M146" s="111">
        <f t="shared" si="165"/>
        <v>63.825000000000003</v>
      </c>
      <c r="N146" s="112">
        <f t="shared" si="165"/>
        <v>63.825000000000003</v>
      </c>
      <c r="O146" s="110">
        <f t="shared" si="165"/>
        <v>10063.825000000001</v>
      </c>
      <c r="P146" s="111">
        <f t="shared" si="165"/>
        <v>63.825000000000003</v>
      </c>
      <c r="Q146" s="111">
        <f t="shared" si="165"/>
        <v>63.825000000000003</v>
      </c>
      <c r="R146" s="111">
        <f t="shared" si="165"/>
        <v>63.825000000000003</v>
      </c>
      <c r="S146" s="111">
        <f t="shared" si="165"/>
        <v>63.825000000000003</v>
      </c>
      <c r="T146" s="111">
        <f t="shared" si="165"/>
        <v>63.825000000000003</v>
      </c>
      <c r="U146" s="111">
        <f t="shared" si="165"/>
        <v>63.825000000000003</v>
      </c>
      <c r="V146" s="111">
        <f t="shared" si="165"/>
        <v>63.825000000000003</v>
      </c>
      <c r="W146" s="111">
        <f t="shared" si="165"/>
        <v>63.825000000000003</v>
      </c>
      <c r="X146" s="111">
        <f t="shared" si="165"/>
        <v>63.825000000000003</v>
      </c>
      <c r="Y146" s="111">
        <f t="shared" si="165"/>
        <v>63.825000000000003</v>
      </c>
      <c r="Z146" s="113">
        <f t="shared" si="165"/>
        <v>63.825000000000003</v>
      </c>
      <c r="AA146" s="114">
        <f t="shared" si="165"/>
        <v>10191.475</v>
      </c>
      <c r="AB146" s="111">
        <f t="shared" si="165"/>
        <v>191.47500000000002</v>
      </c>
      <c r="AC146" s="111">
        <f t="shared" si="165"/>
        <v>191.47500000000002</v>
      </c>
      <c r="AD146" s="113">
        <f t="shared" si="165"/>
        <v>191.47500000000002</v>
      </c>
      <c r="AE146" s="98">
        <f t="shared" si="165"/>
        <v>10765.9</v>
      </c>
      <c r="AF146" s="110">
        <f t="shared" si="165"/>
        <v>10191.475</v>
      </c>
      <c r="AG146" s="111">
        <f t="shared" si="165"/>
        <v>191.47500000000002</v>
      </c>
      <c r="AH146" s="111">
        <f t="shared" si="165"/>
        <v>191.47500000000002</v>
      </c>
      <c r="AI146" s="113">
        <f t="shared" si="165"/>
        <v>191.47500000000002</v>
      </c>
      <c r="AJ146" s="97">
        <f t="shared" si="165"/>
        <v>10765.9</v>
      </c>
      <c r="AK146" s="61">
        <f t="shared" si="137"/>
        <v>1.5587236246375818E-2</v>
      </c>
    </row>
    <row r="147" spans="2:37" ht="22.15" hidden="1" customHeight="1" outlineLevel="1" x14ac:dyDescent="0.25">
      <c r="B147" s="100" t="s">
        <v>28</v>
      </c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241"/>
    </row>
    <row r="148" spans="2:37" ht="22.15" hidden="1" customHeight="1" outlineLevel="1" x14ac:dyDescent="0.25">
      <c r="B148" s="91" t="s">
        <v>66</v>
      </c>
      <c r="C148" s="144">
        <f t="shared" ref="C148:AJ148" si="166">C52-C100</f>
        <v>0</v>
      </c>
      <c r="D148" s="145">
        <f t="shared" si="166"/>
        <v>0</v>
      </c>
      <c r="E148" s="145">
        <f t="shared" si="166"/>
        <v>0</v>
      </c>
      <c r="F148" s="145">
        <f t="shared" si="166"/>
        <v>0</v>
      </c>
      <c r="G148" s="145">
        <f t="shared" si="166"/>
        <v>0</v>
      </c>
      <c r="H148" s="145">
        <f t="shared" si="166"/>
        <v>127.65</v>
      </c>
      <c r="I148" s="145">
        <f t="shared" si="166"/>
        <v>127.65</v>
      </c>
      <c r="J148" s="145">
        <f t="shared" si="166"/>
        <v>127.65</v>
      </c>
      <c r="K148" s="145">
        <f t="shared" si="166"/>
        <v>127.65</v>
      </c>
      <c r="L148" s="145">
        <f t="shared" si="166"/>
        <v>127.65</v>
      </c>
      <c r="M148" s="145">
        <f t="shared" si="166"/>
        <v>127.65</v>
      </c>
      <c r="N148" s="146">
        <f t="shared" si="166"/>
        <v>127.65</v>
      </c>
      <c r="O148" s="144">
        <f t="shared" si="166"/>
        <v>127.65</v>
      </c>
      <c r="P148" s="145">
        <f t="shared" si="166"/>
        <v>127.65</v>
      </c>
      <c r="Q148" s="145">
        <f t="shared" si="166"/>
        <v>127.65</v>
      </c>
      <c r="R148" s="145">
        <f t="shared" si="166"/>
        <v>127.65</v>
      </c>
      <c r="S148" s="145">
        <f t="shared" si="166"/>
        <v>127.65</v>
      </c>
      <c r="T148" s="145">
        <f t="shared" si="166"/>
        <v>127.65</v>
      </c>
      <c r="U148" s="145">
        <f t="shared" si="166"/>
        <v>127.65</v>
      </c>
      <c r="V148" s="145">
        <f t="shared" si="166"/>
        <v>127.65</v>
      </c>
      <c r="W148" s="145">
        <f t="shared" si="166"/>
        <v>127.65</v>
      </c>
      <c r="X148" s="145">
        <f t="shared" si="166"/>
        <v>127.65</v>
      </c>
      <c r="Y148" s="145">
        <f t="shared" si="166"/>
        <v>127.65</v>
      </c>
      <c r="Z148" s="146">
        <f t="shared" si="166"/>
        <v>127.65</v>
      </c>
      <c r="AA148" s="184">
        <f t="shared" si="166"/>
        <v>255.3</v>
      </c>
      <c r="AB148" s="185">
        <f t="shared" si="166"/>
        <v>0</v>
      </c>
      <c r="AC148" s="185">
        <f t="shared" si="166"/>
        <v>255.3</v>
      </c>
      <c r="AD148" s="186">
        <f t="shared" si="166"/>
        <v>382.95000000000005</v>
      </c>
      <c r="AE148" s="187">
        <f t="shared" si="166"/>
        <v>893.55</v>
      </c>
      <c r="AF148" s="144">
        <f t="shared" si="166"/>
        <v>255.3</v>
      </c>
      <c r="AG148" s="145">
        <f t="shared" si="166"/>
        <v>0</v>
      </c>
      <c r="AH148" s="145">
        <f t="shared" si="166"/>
        <v>255.3</v>
      </c>
      <c r="AI148" s="146">
        <f t="shared" si="166"/>
        <v>382.95000000000005</v>
      </c>
      <c r="AJ148" s="176">
        <f t="shared" si="166"/>
        <v>893.55</v>
      </c>
      <c r="AK148" s="238">
        <f t="shared" si="137"/>
        <v>1.2937120861190531E-3</v>
      </c>
    </row>
    <row r="149" spans="2:37" ht="22.15" hidden="1" customHeight="1" outlineLevel="1" x14ac:dyDescent="0.25">
      <c r="B149" s="102" t="s">
        <v>65</v>
      </c>
      <c r="C149" s="212">
        <f t="shared" ref="C149:AJ149" si="167">C53-C101</f>
        <v>0</v>
      </c>
      <c r="D149" s="213">
        <f t="shared" si="167"/>
        <v>0</v>
      </c>
      <c r="E149" s="213">
        <f t="shared" si="167"/>
        <v>0</v>
      </c>
      <c r="F149" s="213">
        <f t="shared" si="167"/>
        <v>0</v>
      </c>
      <c r="G149" s="213">
        <f t="shared" si="167"/>
        <v>0</v>
      </c>
      <c r="H149" s="213">
        <f t="shared" si="167"/>
        <v>83.333333333333329</v>
      </c>
      <c r="I149" s="213">
        <f t="shared" si="167"/>
        <v>83.333333333333329</v>
      </c>
      <c r="J149" s="213">
        <f t="shared" si="167"/>
        <v>83.333333333333329</v>
      </c>
      <c r="K149" s="213">
        <f t="shared" si="167"/>
        <v>83.333333333333329</v>
      </c>
      <c r="L149" s="213">
        <f t="shared" si="167"/>
        <v>83.333333333333329</v>
      </c>
      <c r="M149" s="213">
        <f t="shared" si="167"/>
        <v>83.333333333333329</v>
      </c>
      <c r="N149" s="214">
        <f t="shared" si="167"/>
        <v>83.333333333333329</v>
      </c>
      <c r="O149" s="212">
        <f t="shared" si="167"/>
        <v>83.333333333333329</v>
      </c>
      <c r="P149" s="213">
        <f t="shared" si="167"/>
        <v>83.333333333333329</v>
      </c>
      <c r="Q149" s="213">
        <f t="shared" si="167"/>
        <v>83.333333333333329</v>
      </c>
      <c r="R149" s="213">
        <f t="shared" si="167"/>
        <v>83.333333333333329</v>
      </c>
      <c r="S149" s="213">
        <f t="shared" si="167"/>
        <v>83.333333333333329</v>
      </c>
      <c r="T149" s="213">
        <f t="shared" si="167"/>
        <v>83.333333333333329</v>
      </c>
      <c r="U149" s="213">
        <f t="shared" si="167"/>
        <v>83.333333333333329</v>
      </c>
      <c r="V149" s="213">
        <f t="shared" si="167"/>
        <v>83.333333333333329</v>
      </c>
      <c r="W149" s="213">
        <f t="shared" si="167"/>
        <v>83.333333333333329</v>
      </c>
      <c r="X149" s="213">
        <f t="shared" si="167"/>
        <v>83.333333333333329</v>
      </c>
      <c r="Y149" s="213">
        <f t="shared" si="167"/>
        <v>83.333333333333329</v>
      </c>
      <c r="Z149" s="214">
        <f t="shared" si="167"/>
        <v>83.333333333333329</v>
      </c>
      <c r="AA149" s="215">
        <f t="shared" si="167"/>
        <v>166.66666666666666</v>
      </c>
      <c r="AB149" s="213">
        <f t="shared" si="167"/>
        <v>0</v>
      </c>
      <c r="AC149" s="213">
        <f t="shared" si="167"/>
        <v>166.66666666666666</v>
      </c>
      <c r="AD149" s="214">
        <f t="shared" si="167"/>
        <v>250</v>
      </c>
      <c r="AE149" s="216">
        <f t="shared" si="167"/>
        <v>583.33333333333326</v>
      </c>
      <c r="AF149" s="122">
        <f t="shared" si="167"/>
        <v>166.66666666666666</v>
      </c>
      <c r="AG149" s="123">
        <f t="shared" si="167"/>
        <v>0</v>
      </c>
      <c r="AH149" s="123">
        <f t="shared" si="167"/>
        <v>166.66666666666666</v>
      </c>
      <c r="AI149" s="124">
        <f t="shared" si="167"/>
        <v>250</v>
      </c>
      <c r="AJ149" s="125">
        <f t="shared" si="167"/>
        <v>583.33333333333326</v>
      </c>
      <c r="AK149" s="60">
        <f t="shared" si="137"/>
        <v>8.445698433993034E-4</v>
      </c>
    </row>
    <row r="150" spans="2:37" ht="22.15" hidden="1" customHeight="1" outlineLevel="1" x14ac:dyDescent="0.25">
      <c r="B150" s="91" t="s">
        <v>93</v>
      </c>
      <c r="C150" s="126">
        <f t="shared" ref="C150:AJ150" si="168">C54-C102</f>
        <v>0</v>
      </c>
      <c r="D150" s="127">
        <f t="shared" si="168"/>
        <v>0</v>
      </c>
      <c r="E150" s="127">
        <f t="shared" si="168"/>
        <v>0</v>
      </c>
      <c r="F150" s="127">
        <f t="shared" si="168"/>
        <v>0</v>
      </c>
      <c r="G150" s="127">
        <f t="shared" si="168"/>
        <v>0</v>
      </c>
      <c r="H150" s="127">
        <f t="shared" si="168"/>
        <v>127.65</v>
      </c>
      <c r="I150" s="127">
        <f t="shared" si="168"/>
        <v>127.65</v>
      </c>
      <c r="J150" s="127">
        <f t="shared" si="168"/>
        <v>127.65</v>
      </c>
      <c r="K150" s="127">
        <f t="shared" si="168"/>
        <v>127.65</v>
      </c>
      <c r="L150" s="127">
        <f t="shared" si="168"/>
        <v>127.65</v>
      </c>
      <c r="M150" s="127">
        <f t="shared" si="168"/>
        <v>127.65</v>
      </c>
      <c r="N150" s="128">
        <f t="shared" si="168"/>
        <v>127.65</v>
      </c>
      <c r="O150" s="126">
        <f t="shared" si="168"/>
        <v>127.65</v>
      </c>
      <c r="P150" s="127">
        <f t="shared" si="168"/>
        <v>127.65</v>
      </c>
      <c r="Q150" s="127">
        <f t="shared" si="168"/>
        <v>127.65</v>
      </c>
      <c r="R150" s="127">
        <f t="shared" si="168"/>
        <v>127.65</v>
      </c>
      <c r="S150" s="127">
        <f t="shared" si="168"/>
        <v>127.65</v>
      </c>
      <c r="T150" s="127">
        <f t="shared" si="168"/>
        <v>127.65</v>
      </c>
      <c r="U150" s="127">
        <f t="shared" si="168"/>
        <v>127.65</v>
      </c>
      <c r="V150" s="127">
        <f t="shared" si="168"/>
        <v>127.65</v>
      </c>
      <c r="W150" s="127">
        <f t="shared" si="168"/>
        <v>127.65</v>
      </c>
      <c r="X150" s="127">
        <f t="shared" si="168"/>
        <v>127.65</v>
      </c>
      <c r="Y150" s="127">
        <f t="shared" si="168"/>
        <v>127.65</v>
      </c>
      <c r="Z150" s="128">
        <f t="shared" si="168"/>
        <v>127.65</v>
      </c>
      <c r="AA150" s="114">
        <f t="shared" si="168"/>
        <v>255.3</v>
      </c>
      <c r="AB150" s="111">
        <f t="shared" si="168"/>
        <v>0</v>
      </c>
      <c r="AC150" s="111">
        <f t="shared" si="168"/>
        <v>255.3</v>
      </c>
      <c r="AD150" s="113">
        <f t="shared" si="168"/>
        <v>382.95000000000005</v>
      </c>
      <c r="AE150" s="98">
        <f t="shared" si="168"/>
        <v>893.55</v>
      </c>
      <c r="AF150" s="110">
        <f t="shared" si="168"/>
        <v>255.3</v>
      </c>
      <c r="AG150" s="111">
        <f t="shared" si="168"/>
        <v>0</v>
      </c>
      <c r="AH150" s="111">
        <f t="shared" si="168"/>
        <v>255.3</v>
      </c>
      <c r="AI150" s="113">
        <f t="shared" si="168"/>
        <v>382.95000000000005</v>
      </c>
      <c r="AJ150" s="97">
        <f t="shared" si="168"/>
        <v>893.55</v>
      </c>
      <c r="AK150" s="61">
        <f t="shared" si="137"/>
        <v>1.2937120861190531E-3</v>
      </c>
    </row>
    <row r="151" spans="2:37" ht="22.15" hidden="1" customHeight="1" outlineLevel="1" x14ac:dyDescent="0.25"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241"/>
    </row>
    <row r="152" spans="2:37" ht="22.15" customHeight="1" collapsed="1" thickBot="1" x14ac:dyDescent="0.3">
      <c r="B152" s="96" t="s">
        <v>91</v>
      </c>
      <c r="C152" s="167">
        <f t="shared" ref="C152:AJ152" si="169">C56-C104</f>
        <v>10063.825000000001</v>
      </c>
      <c r="D152" s="168">
        <f t="shared" si="169"/>
        <v>63.825000000000003</v>
      </c>
      <c r="E152" s="168">
        <f t="shared" si="169"/>
        <v>63.825000000000003</v>
      </c>
      <c r="F152" s="168">
        <f t="shared" si="169"/>
        <v>63.825000000000003</v>
      </c>
      <c r="G152" s="168">
        <f t="shared" si="169"/>
        <v>63.825000000000003</v>
      </c>
      <c r="H152" s="168">
        <f t="shared" si="169"/>
        <v>191.47500000000002</v>
      </c>
      <c r="I152" s="168">
        <f t="shared" si="169"/>
        <v>191.47500000000002</v>
      </c>
      <c r="J152" s="168">
        <f t="shared" si="169"/>
        <v>191.47500000000002</v>
      </c>
      <c r="K152" s="168">
        <f t="shared" si="169"/>
        <v>191.47500000000002</v>
      </c>
      <c r="L152" s="168">
        <f t="shared" si="169"/>
        <v>191.47500000000002</v>
      </c>
      <c r="M152" s="168">
        <f t="shared" si="169"/>
        <v>191.47500000000002</v>
      </c>
      <c r="N152" s="169">
        <f t="shared" si="169"/>
        <v>191.47500000000002</v>
      </c>
      <c r="O152" s="188">
        <f t="shared" si="169"/>
        <v>10191.475</v>
      </c>
      <c r="P152" s="168">
        <f t="shared" si="169"/>
        <v>191.47500000000002</v>
      </c>
      <c r="Q152" s="168">
        <f t="shared" si="169"/>
        <v>191.47500000000002</v>
      </c>
      <c r="R152" s="168">
        <f t="shared" si="169"/>
        <v>191.47500000000002</v>
      </c>
      <c r="S152" s="168">
        <f t="shared" si="169"/>
        <v>191.47500000000002</v>
      </c>
      <c r="T152" s="168">
        <f t="shared" si="169"/>
        <v>191.47500000000002</v>
      </c>
      <c r="U152" s="168">
        <f t="shared" si="169"/>
        <v>191.47500000000002</v>
      </c>
      <c r="V152" s="168">
        <f t="shared" si="169"/>
        <v>191.47500000000002</v>
      </c>
      <c r="W152" s="168">
        <f t="shared" si="169"/>
        <v>191.47500000000002</v>
      </c>
      <c r="X152" s="168">
        <f t="shared" si="169"/>
        <v>191.47500000000002</v>
      </c>
      <c r="Y152" s="168">
        <f t="shared" si="169"/>
        <v>191.47500000000002</v>
      </c>
      <c r="Z152" s="169">
        <f t="shared" si="169"/>
        <v>191.47500000000002</v>
      </c>
      <c r="AA152" s="167">
        <f t="shared" si="169"/>
        <v>10446.775</v>
      </c>
      <c r="AB152" s="168">
        <f t="shared" si="169"/>
        <v>191.47500000000002</v>
      </c>
      <c r="AC152" s="168">
        <f t="shared" si="169"/>
        <v>446.77500000000003</v>
      </c>
      <c r="AD152" s="169">
        <f t="shared" si="169"/>
        <v>574.42500000000007</v>
      </c>
      <c r="AE152" s="188">
        <f t="shared" si="169"/>
        <v>11659.449999999999</v>
      </c>
      <c r="AF152" s="167">
        <f t="shared" si="169"/>
        <v>10446.775</v>
      </c>
      <c r="AG152" s="168">
        <f t="shared" si="169"/>
        <v>191.47500000000002</v>
      </c>
      <c r="AH152" s="168">
        <f t="shared" si="169"/>
        <v>446.77500000000003</v>
      </c>
      <c r="AI152" s="169">
        <f t="shared" si="169"/>
        <v>574.42500000000007</v>
      </c>
      <c r="AJ152" s="173">
        <f t="shared" si="169"/>
        <v>11659.449999999999</v>
      </c>
      <c r="AK152" s="166">
        <f t="shared" si="137"/>
        <v>1.6880948332494872E-2</v>
      </c>
    </row>
    <row r="153" spans="2:37" ht="22.15" customHeight="1" thickTop="1" x14ac:dyDescent="0.25"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241"/>
    </row>
    <row r="154" spans="2:37" ht="22.15" customHeight="1" thickBot="1" x14ac:dyDescent="0.3">
      <c r="B154" s="115" t="s">
        <v>92</v>
      </c>
      <c r="C154" s="129">
        <f t="shared" ref="C154:AJ154" si="170">C58-C106</f>
        <v>78384.700000000012</v>
      </c>
      <c r="D154" s="130">
        <f t="shared" si="170"/>
        <v>63.825000000000003</v>
      </c>
      <c r="E154" s="130">
        <f t="shared" si="170"/>
        <v>27392.175000000003</v>
      </c>
      <c r="F154" s="130">
        <f t="shared" si="170"/>
        <v>472.30500000000006</v>
      </c>
      <c r="G154" s="130">
        <f t="shared" si="170"/>
        <v>473.62735583333324</v>
      </c>
      <c r="H154" s="130">
        <f t="shared" si="170"/>
        <v>602.60503076777184</v>
      </c>
      <c r="I154" s="130">
        <f t="shared" si="170"/>
        <v>48428.550551518652</v>
      </c>
      <c r="J154" s="130">
        <f t="shared" si="170"/>
        <v>605.27644495750246</v>
      </c>
      <c r="K154" s="130">
        <f t="shared" si="170"/>
        <v>27934.970238112845</v>
      </c>
      <c r="L154" s="130">
        <f t="shared" si="170"/>
        <v>607.96945817130973</v>
      </c>
      <c r="M154" s="130">
        <f t="shared" si="170"/>
        <v>609.32413247868408</v>
      </c>
      <c r="N154" s="131">
        <f t="shared" si="170"/>
        <v>610.68428854078422</v>
      </c>
      <c r="O154" s="129">
        <f t="shared" si="170"/>
        <v>58436.662454024539</v>
      </c>
      <c r="P154" s="130">
        <f t="shared" si="170"/>
        <v>613.42115675901346</v>
      </c>
      <c r="Q154" s="130">
        <f t="shared" si="170"/>
        <v>27943.147924736404</v>
      </c>
      <c r="R154" s="130">
        <f t="shared" si="170"/>
        <v>616.18028611302941</v>
      </c>
      <c r="S154" s="130">
        <f t="shared" si="170"/>
        <v>617.56826921051675</v>
      </c>
      <c r="T154" s="130">
        <f t="shared" si="170"/>
        <v>618.96190251667804</v>
      </c>
      <c r="U154" s="130">
        <f t="shared" si="170"/>
        <v>48444.973714686639</v>
      </c>
      <c r="V154" s="130">
        <f t="shared" si="170"/>
        <v>621.76623454391893</v>
      </c>
      <c r="W154" s="130">
        <f t="shared" si="170"/>
        <v>27951.526991081439</v>
      </c>
      <c r="X154" s="130">
        <f t="shared" si="170"/>
        <v>41617.118513462556</v>
      </c>
      <c r="Y154" s="130">
        <f t="shared" si="170"/>
        <v>626.01583102235077</v>
      </c>
      <c r="Z154" s="131">
        <f t="shared" si="170"/>
        <v>627.44397326844307</v>
      </c>
      <c r="AA154" s="129">
        <f t="shared" si="170"/>
        <v>79604.708421019459</v>
      </c>
      <c r="AB154" s="130">
        <f t="shared" si="170"/>
        <v>27928.305000000008</v>
      </c>
      <c r="AC154" s="130">
        <f t="shared" si="170"/>
        <v>49504.782938119781</v>
      </c>
      <c r="AD154" s="131">
        <f t="shared" si="170"/>
        <v>29148.216141241661</v>
      </c>
      <c r="AE154" s="132">
        <f t="shared" si="170"/>
        <v>186186.01250038086</v>
      </c>
      <c r="AF154" s="129">
        <f t="shared" si="170"/>
        <v>59562.472258315334</v>
      </c>
      <c r="AG154" s="130">
        <f t="shared" si="170"/>
        <v>28789.79936760843</v>
      </c>
      <c r="AH154" s="130">
        <f t="shared" si="170"/>
        <v>49553.853886413825</v>
      </c>
      <c r="AI154" s="133">
        <f t="shared" si="170"/>
        <v>70190.411739087896</v>
      </c>
      <c r="AJ154" s="134">
        <f t="shared" si="170"/>
        <v>208096.53725142532</v>
      </c>
      <c r="AK154" s="61">
        <f t="shared" si="137"/>
        <v>0.28542784397053805</v>
      </c>
    </row>
    <row r="155" spans="2:37" ht="22.15" customHeight="1" thickTop="1" x14ac:dyDescent="0.25">
      <c r="B155" s="135" t="s">
        <v>132</v>
      </c>
      <c r="C155" s="136">
        <f>IFERROR(C154/C58,0)</f>
        <v>0.3645351536985334</v>
      </c>
      <c r="D155" s="136">
        <f t="shared" ref="D155:AJ155" si="171">IFERROR(D154/D58,0)</f>
        <v>1</v>
      </c>
      <c r="E155" s="136">
        <f t="shared" si="171"/>
        <v>0.25970750382739499</v>
      </c>
      <c r="F155" s="136">
        <f t="shared" si="171"/>
        <v>0.48051948051948057</v>
      </c>
      <c r="G155" s="136">
        <f t="shared" si="171"/>
        <v>0.48041060921196688</v>
      </c>
      <c r="H155" s="136">
        <f t="shared" si="171"/>
        <v>0.53971835945645841</v>
      </c>
      <c r="I155" s="136">
        <f t="shared" si="171"/>
        <v>0.26094954377446344</v>
      </c>
      <c r="J155" s="136">
        <f t="shared" si="171"/>
        <v>0.53920820641712219</v>
      </c>
      <c r="K155" s="136">
        <f t="shared" si="171"/>
        <v>0.26221425814322552</v>
      </c>
      <c r="L155" s="136">
        <f t="shared" si="171"/>
        <v>0.53869942874020582</v>
      </c>
      <c r="M155" s="136">
        <f t="shared" si="171"/>
        <v>0.53844555653460513</v>
      </c>
      <c r="N155" s="136">
        <f t="shared" si="171"/>
        <v>0.53819202921444897</v>
      </c>
      <c r="O155" s="136">
        <f t="shared" si="171"/>
        <v>0.29874963331035798</v>
      </c>
      <c r="P155" s="136">
        <f t="shared" si="171"/>
        <v>0.53768601061659049</v>
      </c>
      <c r="Q155" s="136">
        <f t="shared" si="171"/>
        <v>0.26224572594387868</v>
      </c>
      <c r="R155" s="136">
        <f t="shared" si="171"/>
        <v>0.53718137571136715</v>
      </c>
      <c r="S155" s="136">
        <f t="shared" si="171"/>
        <v>0.5369295780041905</v>
      </c>
      <c r="T155" s="136">
        <f t="shared" si="171"/>
        <v>0.53667812725150676</v>
      </c>
      <c r="U155" s="136">
        <f t="shared" si="171"/>
        <v>0.26098607228234028</v>
      </c>
      <c r="V155" s="136">
        <f t="shared" si="171"/>
        <v>0.53617626797771611</v>
      </c>
      <c r="W155" s="136">
        <f t="shared" si="171"/>
        <v>0.26227795738467985</v>
      </c>
      <c r="X155" s="136">
        <f t="shared" si="171"/>
        <v>0.26128273582196521</v>
      </c>
      <c r="Y155" s="136">
        <f t="shared" si="171"/>
        <v>0.53542608975657813</v>
      </c>
      <c r="Z155" s="136">
        <f t="shared" si="171"/>
        <v>0.53517672789096127</v>
      </c>
      <c r="AA155" s="136">
        <f t="shared" si="171"/>
        <v>0.3663476894667495</v>
      </c>
      <c r="AB155" s="136">
        <f t="shared" si="171"/>
        <v>0.2621886022147692</v>
      </c>
      <c r="AC155" s="136">
        <f t="shared" si="171"/>
        <v>0.26376065499249624</v>
      </c>
      <c r="AD155" s="136">
        <f t="shared" si="171"/>
        <v>0.26794083277363251</v>
      </c>
      <c r="AE155" s="136">
        <f t="shared" si="171"/>
        <v>0.30016108370503325</v>
      </c>
      <c r="AF155" s="136">
        <f t="shared" si="171"/>
        <v>0.30109721415969998</v>
      </c>
      <c r="AG155" s="136">
        <f t="shared" si="171"/>
        <v>0.26544587219687044</v>
      </c>
      <c r="AH155" s="136">
        <f t="shared" si="171"/>
        <v>0.26386688167242955</v>
      </c>
      <c r="AI155" s="136">
        <f t="shared" si="171"/>
        <v>0.26287381818953665</v>
      </c>
      <c r="AJ155" s="136">
        <f t="shared" si="171"/>
        <v>0.27342023013081673</v>
      </c>
    </row>
    <row r="156" spans="2:37" ht="22.15" customHeight="1" x14ac:dyDescent="0.25">
      <c r="B156" s="143" t="s">
        <v>98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116"/>
      <c r="AB156" s="116"/>
      <c r="AC156" s="116"/>
      <c r="AD156" s="116"/>
      <c r="AE156" s="74"/>
      <c r="AF156" s="116"/>
      <c r="AG156" s="116"/>
      <c r="AH156" s="116"/>
      <c r="AI156" s="116"/>
      <c r="AJ156" s="74"/>
    </row>
    <row r="157" spans="2:37" ht="22.15" customHeight="1" x14ac:dyDescent="0.25">
      <c r="B157" s="89" t="s">
        <v>162</v>
      </c>
      <c r="AK157" s="56" t="s">
        <v>197</v>
      </c>
    </row>
    <row r="158" spans="2:37" ht="22.15" hidden="1" customHeight="1" outlineLevel="1" x14ac:dyDescent="0.25">
      <c r="B158" s="91" t="str">
        <f>IF(Assumptions!$A135="","",Assumptions!$A135)</f>
        <v>Test 1</v>
      </c>
      <c r="C158" s="217">
        <f>IFERROR(IF(INDEX(Assumptions!$D$135:$D$155,MATCH('Cash flow forecast'!$B158,Assumptions!$A$135:$A$155,0))="Monthly",(SUMIFS(Assumptions!$B$135:$B$155,Assumptions!$A$135:$A$155,'Cash flow forecast'!$B158,Assumptions!$E$135:$E$155,"&lt;="&amp;'Cash flow forecast'!C$5))*(INDEX(Assumptions!$C$135:$C$155,MATCH('Cash flow forecast'!$B158,Assumptions!$A$135:$A$155,0))),IF(OR('Cash flow forecast'!C$5=INDEX(Assumptions!$E$135:$E$155,MATCH('Cash flow forecast'!$B158,Assumptions!$A$135:$A$155,0)),'Cash flow forecast'!C$5=INDEX(Assumptions!$F$135:$F$155,MATCH('Cash flow forecast'!$B158,Assumptions!$A$135:$A$155,0))),SUMIFS(Assumptions!$B$135:$B$155,Assumptions!$A$135:$A$155,'Cash flow forecast'!$B158,Assumptions!$D$135:$D$155,"Annual"),0)),"")</f>
        <v>0</v>
      </c>
      <c r="D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forecast'!D$5))*(INDEX(Assumptions!$C$135:$C$155,MATCH('Cash flow forecast'!$B158,Assumptions!$A$135:$A$155,0))),IF(OR('Cash flow forecast'!D$5=INDEX(Assumptions!$E$135:$E$155,MATCH('Cash flow forecast'!$B158,Assumptions!$A$135:$A$155,0)),'Cash flow forecast'!D$5=INDEX(Assumptions!$F$135:$F$155,MATCH('Cash flow forecast'!$B158,Assumptions!$A$135:$A$155,0))),SUMIFS(Assumptions!$B$135:$B$155,Assumptions!$A$135:$A$155,'Cash flow forecast'!$B158,Assumptions!$D$135:$D$155,"Annual"),0)),"")</f>
        <v>0</v>
      </c>
      <c r="E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forecast'!E$5))*(INDEX(Assumptions!$C$135:$C$155,MATCH('Cash flow forecast'!$B158,Assumptions!$A$135:$A$155,0))),IF(OR('Cash flow forecast'!E$5=INDEX(Assumptions!$E$135:$E$155,MATCH('Cash flow forecast'!$B158,Assumptions!$A$135:$A$155,0)),'Cash flow forecast'!E$5=INDEX(Assumptions!$F$135:$F$155,MATCH('Cash flow forecast'!$B158,Assumptions!$A$135:$A$155,0))),SUMIFS(Assumptions!$B$135:$B$155,Assumptions!$A$135:$A$155,'Cash flow forecast'!$B158,Assumptions!$D$135:$D$155,"Annual"),0)),"")</f>
        <v>0</v>
      </c>
      <c r="F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forecast'!F$5))*(INDEX(Assumptions!$C$135:$C$155,MATCH('Cash flow forecast'!$B158,Assumptions!$A$135:$A$155,0))),IF(OR('Cash flow forecast'!F$5=INDEX(Assumptions!$E$135:$E$155,MATCH('Cash flow forecast'!$B158,Assumptions!$A$135:$A$155,0)),'Cash flow forecast'!F$5=INDEX(Assumptions!$F$135:$F$155,MATCH('Cash flow forecast'!$B158,Assumptions!$A$135:$A$155,0))),SUMIFS(Assumptions!$B$135:$B$155,Assumptions!$A$135:$A$155,'Cash flow forecast'!$B158,Assumptions!$D$135:$D$155,"Annual"),0)),"")</f>
        <v>0</v>
      </c>
      <c r="G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forecast'!G$5))*(INDEX(Assumptions!$C$135:$C$155,MATCH('Cash flow forecast'!$B158,Assumptions!$A$135:$A$155,0))),IF(OR('Cash flow forecast'!G$5=INDEX(Assumptions!$E$135:$E$155,MATCH('Cash flow forecast'!$B158,Assumptions!$A$135:$A$155,0)),'Cash flow forecast'!G$5=INDEX(Assumptions!$F$135:$F$155,MATCH('Cash flow forecast'!$B158,Assumptions!$A$135:$A$155,0))),SUMIFS(Assumptions!$B$135:$B$155,Assumptions!$A$135:$A$155,'Cash flow forecast'!$B158,Assumptions!$D$135:$D$155,"Annual"),0)),"")</f>
        <v>0</v>
      </c>
      <c r="H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forecast'!H$5))*(INDEX(Assumptions!$C$135:$C$155,MATCH('Cash flow forecast'!$B158,Assumptions!$A$135:$A$155,0))),IF(OR('Cash flow forecast'!H$5=INDEX(Assumptions!$E$135:$E$155,MATCH('Cash flow forecast'!$B158,Assumptions!$A$135:$A$155,0)),'Cash flow forecast'!H$5=INDEX(Assumptions!$F$135:$F$155,MATCH('Cash flow forecast'!$B158,Assumptions!$A$135:$A$155,0))),SUMIFS(Assumptions!$B$135:$B$155,Assumptions!$A$135:$A$155,'Cash flow forecast'!$B158,Assumptions!$D$135:$D$155,"Annual"),0)),"")</f>
        <v>15</v>
      </c>
      <c r="I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forecast'!I$5))*(INDEX(Assumptions!$C$135:$C$155,MATCH('Cash flow forecast'!$B158,Assumptions!$A$135:$A$155,0))),IF(OR('Cash flow forecast'!I$5=INDEX(Assumptions!$E$135:$E$155,MATCH('Cash flow forecast'!$B158,Assumptions!$A$135:$A$155,0)),'Cash flow forecast'!I$5=INDEX(Assumptions!$F$135:$F$155,MATCH('Cash flow forecast'!$B158,Assumptions!$A$135:$A$155,0))),SUMIFS(Assumptions!$B$135:$B$155,Assumptions!$A$135:$A$155,'Cash flow forecast'!$B158,Assumptions!$D$135:$D$155,"Annual"),0)),"")</f>
        <v>0</v>
      </c>
      <c r="J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forecast'!J$5))*(INDEX(Assumptions!$C$135:$C$155,MATCH('Cash flow forecast'!$B158,Assumptions!$A$135:$A$155,0))),IF(OR('Cash flow forecast'!J$5=INDEX(Assumptions!$E$135:$E$155,MATCH('Cash flow forecast'!$B158,Assumptions!$A$135:$A$155,0)),'Cash flow forecast'!J$5=INDEX(Assumptions!$F$135:$F$155,MATCH('Cash flow forecast'!$B158,Assumptions!$A$135:$A$155,0))),SUMIFS(Assumptions!$B$135:$B$155,Assumptions!$A$135:$A$155,'Cash flow forecast'!$B158,Assumptions!$D$135:$D$155,"Annual"),0)),"")</f>
        <v>0</v>
      </c>
      <c r="K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forecast'!K$5))*(INDEX(Assumptions!$C$135:$C$155,MATCH('Cash flow forecast'!$B158,Assumptions!$A$135:$A$155,0))),IF(OR('Cash flow forecast'!K$5=INDEX(Assumptions!$E$135:$E$155,MATCH('Cash flow forecast'!$B158,Assumptions!$A$135:$A$155,0)),'Cash flow forecast'!K$5=INDEX(Assumptions!$F$135:$F$155,MATCH('Cash flow forecast'!$B158,Assumptions!$A$135:$A$155,0))),SUMIFS(Assumptions!$B$135:$B$155,Assumptions!$A$135:$A$155,'Cash flow forecast'!$B158,Assumptions!$D$135:$D$155,"Annual"),0)),"")</f>
        <v>0</v>
      </c>
      <c r="L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forecast'!L$5))*(INDEX(Assumptions!$C$135:$C$155,MATCH('Cash flow forecast'!$B158,Assumptions!$A$135:$A$155,0))),IF(OR('Cash flow forecast'!L$5=INDEX(Assumptions!$E$135:$E$155,MATCH('Cash flow forecast'!$B158,Assumptions!$A$135:$A$155,0)),'Cash flow forecast'!L$5=INDEX(Assumptions!$F$135:$F$155,MATCH('Cash flow forecast'!$B158,Assumptions!$A$135:$A$155,0))),SUMIFS(Assumptions!$B$135:$B$155,Assumptions!$A$135:$A$155,'Cash flow forecast'!$B158,Assumptions!$D$135:$D$155,"Annual"),0)),"")</f>
        <v>0</v>
      </c>
      <c r="M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forecast'!M$5))*(INDEX(Assumptions!$C$135:$C$155,MATCH('Cash flow forecast'!$B158,Assumptions!$A$135:$A$155,0))),IF(OR('Cash flow forecast'!M$5=INDEX(Assumptions!$E$135:$E$155,MATCH('Cash flow forecast'!$B158,Assumptions!$A$135:$A$155,0)),'Cash flow forecast'!M$5=INDEX(Assumptions!$F$135:$F$155,MATCH('Cash flow forecast'!$B158,Assumptions!$A$135:$A$155,0))),SUMIFS(Assumptions!$B$135:$B$155,Assumptions!$A$135:$A$155,'Cash flow forecast'!$B158,Assumptions!$D$135:$D$155,"Annual"),0)),"")</f>
        <v>0</v>
      </c>
      <c r="N158" s="219">
        <f>IFERROR(IF(INDEX(Assumptions!$D$135:$D$155,MATCH('Cash flow forecast'!$B158,Assumptions!$A$135:$A$155,0))="Monthly",(SUMIFS(Assumptions!$B$135:$B$155,Assumptions!$A$135:$A$155,'Cash flow forecast'!$B158,Assumptions!$E$135:$E$155,"&lt;="&amp;'Cash flow forecast'!N$5))*(INDEX(Assumptions!$C$135:$C$155,MATCH('Cash flow forecast'!$B158,Assumptions!$A$135:$A$155,0))),IF(OR('Cash flow forecast'!N$5=INDEX(Assumptions!$E$135:$E$155,MATCH('Cash flow forecast'!$B158,Assumptions!$A$135:$A$155,0)),'Cash flow forecast'!N$5=INDEX(Assumptions!$F$135:$F$155,MATCH('Cash flow forecast'!$B158,Assumptions!$A$135:$A$155,0))),SUMIFS(Assumptions!$B$135:$B$155,Assumptions!$A$135:$A$155,'Cash flow forecast'!$B158,Assumptions!$D$135:$D$155,"Annual"),0)),"")</f>
        <v>0</v>
      </c>
      <c r="O158" s="217">
        <f>IFERROR(IF(INDEX(Assumptions!$D$135:$D$155,MATCH('Cash flow forecast'!$B158,Assumptions!$A$135:$A$155,0))="Monthly",(SUMIFS(Assumptions!$B$135:$B$155,Assumptions!$A$135:$A$155,'Cash flow forecast'!$B158,Assumptions!$E$135:$E$155,"&lt;="&amp;'Cash flow forecast'!O$5))*(INDEX(Assumptions!$C$135:$C$155,MATCH('Cash flow forecast'!$B158,Assumptions!$A$135:$A$155,0))),IF(OR('Cash flow forecast'!O$5=INDEX(Assumptions!$E$135:$E$155,MATCH('Cash flow forecast'!$B158,Assumptions!$A$135:$A$155,0)),'Cash flow forecast'!O$5=INDEX(Assumptions!$F$135:$F$155,MATCH('Cash flow forecast'!$B158,Assumptions!$A$135:$A$155,0))),SUMIFS(Assumptions!$B$135:$B$155,Assumptions!$A$135:$A$155,'Cash flow forecast'!$B158,Assumptions!$D$135:$D$155,"Annual"),0)),"")</f>
        <v>0</v>
      </c>
      <c r="P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forecast'!P$5))*(INDEX(Assumptions!$C$135:$C$155,MATCH('Cash flow forecast'!$B158,Assumptions!$A$135:$A$155,0))),IF(OR('Cash flow forecast'!P$5=INDEX(Assumptions!$E$135:$E$155,MATCH('Cash flow forecast'!$B158,Assumptions!$A$135:$A$155,0)),'Cash flow forecast'!P$5=INDEX(Assumptions!$F$135:$F$155,MATCH('Cash flow forecast'!$B158,Assumptions!$A$135:$A$155,0))),SUMIFS(Assumptions!$B$135:$B$155,Assumptions!$A$135:$A$155,'Cash flow forecast'!$B158,Assumptions!$D$135:$D$155,"Annual"),0)),"")</f>
        <v>0</v>
      </c>
      <c r="Q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forecast'!Q$5))*(INDEX(Assumptions!$C$135:$C$155,MATCH('Cash flow forecast'!$B158,Assumptions!$A$135:$A$155,0))),IF(OR('Cash flow forecast'!Q$5=INDEX(Assumptions!$E$135:$E$155,MATCH('Cash flow forecast'!$B158,Assumptions!$A$135:$A$155,0)),'Cash flow forecast'!Q$5=INDEX(Assumptions!$F$135:$F$155,MATCH('Cash flow forecast'!$B158,Assumptions!$A$135:$A$155,0))),SUMIFS(Assumptions!$B$135:$B$155,Assumptions!$A$135:$A$155,'Cash flow forecast'!$B158,Assumptions!$D$135:$D$155,"Annual"),0)),"")</f>
        <v>0</v>
      </c>
      <c r="R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forecast'!R$5))*(INDEX(Assumptions!$C$135:$C$155,MATCH('Cash flow forecast'!$B158,Assumptions!$A$135:$A$155,0))),IF(OR('Cash flow forecast'!R$5=INDEX(Assumptions!$E$135:$E$155,MATCH('Cash flow forecast'!$B158,Assumptions!$A$135:$A$155,0)),'Cash flow forecast'!R$5=INDEX(Assumptions!$F$135:$F$155,MATCH('Cash flow forecast'!$B158,Assumptions!$A$135:$A$155,0))),SUMIFS(Assumptions!$B$135:$B$155,Assumptions!$A$135:$A$155,'Cash flow forecast'!$B158,Assumptions!$D$135:$D$155,"Annual"),0)),"")</f>
        <v>0</v>
      </c>
      <c r="S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forecast'!S$5))*(INDEX(Assumptions!$C$135:$C$155,MATCH('Cash flow forecast'!$B158,Assumptions!$A$135:$A$155,0))),IF(OR('Cash flow forecast'!S$5=INDEX(Assumptions!$E$135:$E$155,MATCH('Cash flow forecast'!$B158,Assumptions!$A$135:$A$155,0)),'Cash flow forecast'!S$5=INDEX(Assumptions!$F$135:$F$155,MATCH('Cash flow forecast'!$B158,Assumptions!$A$135:$A$155,0))),SUMIFS(Assumptions!$B$135:$B$155,Assumptions!$A$135:$A$155,'Cash flow forecast'!$B158,Assumptions!$D$135:$D$155,"Annual"),0)),"")</f>
        <v>0</v>
      </c>
      <c r="T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forecast'!T$5))*(INDEX(Assumptions!$C$135:$C$155,MATCH('Cash flow forecast'!$B158,Assumptions!$A$135:$A$155,0))),IF(OR('Cash flow forecast'!T$5=INDEX(Assumptions!$E$135:$E$155,MATCH('Cash flow forecast'!$B158,Assumptions!$A$135:$A$155,0)),'Cash flow forecast'!T$5=INDEX(Assumptions!$F$135:$F$155,MATCH('Cash flow forecast'!$B158,Assumptions!$A$135:$A$155,0))),SUMIFS(Assumptions!$B$135:$B$155,Assumptions!$A$135:$A$155,'Cash flow forecast'!$B158,Assumptions!$D$135:$D$155,"Annual"),0)),"")</f>
        <v>15</v>
      </c>
      <c r="U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forecast'!U$5))*(INDEX(Assumptions!$C$135:$C$155,MATCH('Cash flow forecast'!$B158,Assumptions!$A$135:$A$155,0))),IF(OR('Cash flow forecast'!U$5=INDEX(Assumptions!$E$135:$E$155,MATCH('Cash flow forecast'!$B158,Assumptions!$A$135:$A$155,0)),'Cash flow forecast'!U$5=INDEX(Assumptions!$F$135:$F$155,MATCH('Cash flow forecast'!$B158,Assumptions!$A$135:$A$155,0))),SUMIFS(Assumptions!$B$135:$B$155,Assumptions!$A$135:$A$155,'Cash flow forecast'!$B158,Assumptions!$D$135:$D$155,"Annual"),0)),"")</f>
        <v>0</v>
      </c>
      <c r="V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forecast'!V$5))*(INDEX(Assumptions!$C$135:$C$155,MATCH('Cash flow forecast'!$B158,Assumptions!$A$135:$A$155,0))),IF(OR('Cash flow forecast'!V$5=INDEX(Assumptions!$E$135:$E$155,MATCH('Cash flow forecast'!$B158,Assumptions!$A$135:$A$155,0)),'Cash flow forecast'!V$5=INDEX(Assumptions!$F$135:$F$155,MATCH('Cash flow forecast'!$B158,Assumptions!$A$135:$A$155,0))),SUMIFS(Assumptions!$B$135:$B$155,Assumptions!$A$135:$A$155,'Cash flow forecast'!$B158,Assumptions!$D$135:$D$155,"Annual"),0)),"")</f>
        <v>0</v>
      </c>
      <c r="W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forecast'!W$5))*(INDEX(Assumptions!$C$135:$C$155,MATCH('Cash flow forecast'!$B158,Assumptions!$A$135:$A$155,0))),IF(OR('Cash flow forecast'!W$5=INDEX(Assumptions!$E$135:$E$155,MATCH('Cash flow forecast'!$B158,Assumptions!$A$135:$A$155,0)),'Cash flow forecast'!W$5=INDEX(Assumptions!$F$135:$F$155,MATCH('Cash flow forecast'!$B158,Assumptions!$A$135:$A$155,0))),SUMIFS(Assumptions!$B$135:$B$155,Assumptions!$A$135:$A$155,'Cash flow forecast'!$B158,Assumptions!$D$135:$D$155,"Annual"),0)),"")</f>
        <v>0</v>
      </c>
      <c r="X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forecast'!X$5))*(INDEX(Assumptions!$C$135:$C$155,MATCH('Cash flow forecast'!$B158,Assumptions!$A$135:$A$155,0))),IF(OR('Cash flow forecast'!X$5=INDEX(Assumptions!$E$135:$E$155,MATCH('Cash flow forecast'!$B158,Assumptions!$A$135:$A$155,0)),'Cash flow forecast'!X$5=INDEX(Assumptions!$F$135:$F$155,MATCH('Cash flow forecast'!$B158,Assumptions!$A$135:$A$155,0))),SUMIFS(Assumptions!$B$135:$B$155,Assumptions!$A$135:$A$155,'Cash flow forecast'!$B158,Assumptions!$D$135:$D$155,"Annual"),0)),"")</f>
        <v>0</v>
      </c>
      <c r="Y158" s="218">
        <f>IFERROR(IF(INDEX(Assumptions!$D$135:$D$155,MATCH('Cash flow forecast'!$B158,Assumptions!$A$135:$A$155,0))="Monthly",(SUMIFS(Assumptions!$B$135:$B$155,Assumptions!$A$135:$A$155,'Cash flow forecast'!$B158,Assumptions!$E$135:$E$155,"&lt;="&amp;'Cash flow forecast'!Y$5))*(INDEX(Assumptions!$C$135:$C$155,MATCH('Cash flow forecast'!$B158,Assumptions!$A$135:$A$155,0))),IF(OR('Cash flow forecast'!Y$5=INDEX(Assumptions!$E$135:$E$155,MATCH('Cash flow forecast'!$B158,Assumptions!$A$135:$A$155,0)),'Cash flow forecast'!Y$5=INDEX(Assumptions!$F$135:$F$155,MATCH('Cash flow forecast'!$B158,Assumptions!$A$135:$A$155,0))),SUMIFS(Assumptions!$B$135:$B$155,Assumptions!$A$135:$A$155,'Cash flow forecast'!$B158,Assumptions!$D$135:$D$155,"Annual"),0)),"")</f>
        <v>0</v>
      </c>
      <c r="Z158" s="219">
        <f>IFERROR(IF(INDEX(Assumptions!$D$135:$D$155,MATCH('Cash flow forecast'!$B158,Assumptions!$A$135:$A$155,0))="Monthly",(SUMIFS(Assumptions!$B$135:$B$155,Assumptions!$A$135:$A$155,'Cash flow forecast'!$B158,Assumptions!$E$135:$E$155,"&lt;="&amp;'Cash flow forecast'!Z$5))*(INDEX(Assumptions!$C$135:$C$155,MATCH('Cash flow forecast'!$B158,Assumptions!$A$135:$A$155,0))),IF(OR('Cash flow forecast'!Z$5=INDEX(Assumptions!$E$135:$E$155,MATCH('Cash flow forecast'!$B158,Assumptions!$A$135:$A$155,0)),'Cash flow forecast'!Z$5=INDEX(Assumptions!$F$135:$F$155,MATCH('Cash flow forecast'!$B158,Assumptions!$A$135:$A$155,0))),SUMIFS(Assumptions!$B$135:$B$155,Assumptions!$A$135:$A$155,'Cash flow forecast'!$B158,Assumptions!$D$135:$D$155,"Annual"),0)),"")</f>
        <v>0</v>
      </c>
      <c r="AA158" s="217">
        <f t="shared" ref="AA158:AD173" si="172">SUMIFS($C158:$N158,$C$6:$N$6,AA$5)</f>
        <v>0</v>
      </c>
      <c r="AB158" s="218">
        <f t="shared" si="172"/>
        <v>0</v>
      </c>
      <c r="AC158" s="218">
        <f t="shared" si="172"/>
        <v>15</v>
      </c>
      <c r="AD158" s="218">
        <f t="shared" si="172"/>
        <v>0</v>
      </c>
      <c r="AE158" s="220">
        <f t="shared" ref="AE158:AE194" si="173">SUM($C158:$N158)</f>
        <v>15</v>
      </c>
      <c r="AF158" s="217">
        <f>SUMIFS($O158:$Z158,$O$6:$Z$6,AF$5)</f>
        <v>0</v>
      </c>
      <c r="AG158" s="218">
        <f t="shared" ref="AG158:AI173" si="174">SUMIFS($O158:$Z158,$O$6:$Z$6,AG$5)</f>
        <v>0</v>
      </c>
      <c r="AH158" s="218">
        <f t="shared" si="174"/>
        <v>15</v>
      </c>
      <c r="AI158" s="219">
        <f t="shared" si="174"/>
        <v>0</v>
      </c>
      <c r="AJ158" s="220">
        <f>SUM($O158:$Z158)</f>
        <v>15</v>
      </c>
      <c r="AK158" s="242">
        <f t="shared" ref="AK158:AK178" si="175">AVERAGE(AE158,AJ158)/AVERAGE($AE$220,$AJ$220)</f>
        <v>2.9344247237046756E-5</v>
      </c>
    </row>
    <row r="159" spans="2:37" ht="22.15" hidden="1" customHeight="1" outlineLevel="1" x14ac:dyDescent="0.25">
      <c r="B159" s="91" t="str">
        <f>IF(Assumptions!$A136="","",Assumptions!$A136)</f>
        <v>Test 2</v>
      </c>
      <c r="C159" s="221">
        <f>IFERROR(IF(INDEX(Assumptions!$D$135:$D$155,MATCH('Cash flow forecast'!$B159,Assumptions!$A$135:$A$155,0))="Monthly",(SUMIFS(Assumptions!$B$135:$B$155,Assumptions!$A$135:$A$155,'Cash flow forecast'!$B159,Assumptions!$E$135:$E$155,"&lt;="&amp;'Cash flow forecast'!C$5))*(INDEX(Assumptions!$C$135:$C$155,MATCH('Cash flow forecast'!$B159,Assumptions!$A$135:$A$155,0))),IF(OR('Cash flow forecast'!C$5=INDEX(Assumptions!$E$135:$E$155,MATCH('Cash flow forecast'!$B159,Assumptions!$A$135:$A$155,0)),'Cash flow forecast'!C$5=INDEX(Assumptions!$F$135:$F$155,MATCH('Cash flow forecast'!$B159,Assumptions!$A$135:$A$155,0))),SUMIFS(Assumptions!$B$135:$B$155,Assumptions!$A$135:$A$155,'Cash flow forecast'!$B159,Assumptions!$D$135:$D$155,"Annual"),0)),"")</f>
        <v>225</v>
      </c>
      <c r="D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forecast'!D$5))*(INDEX(Assumptions!$C$135:$C$155,MATCH('Cash flow forecast'!$B159,Assumptions!$A$135:$A$155,0))),IF(OR('Cash flow forecast'!D$5=INDEX(Assumptions!$E$135:$E$155,MATCH('Cash flow forecast'!$B159,Assumptions!$A$135:$A$155,0)),'Cash flow forecast'!D$5=INDEX(Assumptions!$F$135:$F$155,MATCH('Cash flow forecast'!$B159,Assumptions!$A$135:$A$155,0))),SUMIFS(Assumptions!$B$135:$B$155,Assumptions!$A$135:$A$155,'Cash flow forecast'!$B159,Assumptions!$D$135:$D$155,"Annual"),0)),"")</f>
        <v>0</v>
      </c>
      <c r="E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forecast'!E$5))*(INDEX(Assumptions!$C$135:$C$155,MATCH('Cash flow forecast'!$B159,Assumptions!$A$135:$A$155,0))),IF(OR('Cash flow forecast'!E$5=INDEX(Assumptions!$E$135:$E$155,MATCH('Cash flow forecast'!$B159,Assumptions!$A$135:$A$155,0)),'Cash flow forecast'!E$5=INDEX(Assumptions!$F$135:$F$155,MATCH('Cash flow forecast'!$B159,Assumptions!$A$135:$A$155,0))),SUMIFS(Assumptions!$B$135:$B$155,Assumptions!$A$135:$A$155,'Cash flow forecast'!$B159,Assumptions!$D$135:$D$155,"Annual"),0)),"")</f>
        <v>0</v>
      </c>
      <c r="F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forecast'!F$5))*(INDEX(Assumptions!$C$135:$C$155,MATCH('Cash flow forecast'!$B159,Assumptions!$A$135:$A$155,0))),IF(OR('Cash flow forecast'!F$5=INDEX(Assumptions!$E$135:$E$155,MATCH('Cash flow forecast'!$B159,Assumptions!$A$135:$A$155,0)),'Cash flow forecast'!F$5=INDEX(Assumptions!$F$135:$F$155,MATCH('Cash flow forecast'!$B159,Assumptions!$A$135:$A$155,0))),SUMIFS(Assumptions!$B$135:$B$155,Assumptions!$A$135:$A$155,'Cash flow forecast'!$B159,Assumptions!$D$135:$D$155,"Annual"),0)),"")</f>
        <v>0</v>
      </c>
      <c r="G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forecast'!G$5))*(INDEX(Assumptions!$C$135:$C$155,MATCH('Cash flow forecast'!$B159,Assumptions!$A$135:$A$155,0))),IF(OR('Cash flow forecast'!G$5=INDEX(Assumptions!$E$135:$E$155,MATCH('Cash flow forecast'!$B159,Assumptions!$A$135:$A$155,0)),'Cash flow forecast'!G$5=INDEX(Assumptions!$F$135:$F$155,MATCH('Cash flow forecast'!$B159,Assumptions!$A$135:$A$155,0))),SUMIFS(Assumptions!$B$135:$B$155,Assumptions!$A$135:$A$155,'Cash flow forecast'!$B159,Assumptions!$D$135:$D$155,"Annual"),0)),"")</f>
        <v>0</v>
      </c>
      <c r="H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forecast'!H$5))*(INDEX(Assumptions!$C$135:$C$155,MATCH('Cash flow forecast'!$B159,Assumptions!$A$135:$A$155,0))),IF(OR('Cash flow forecast'!H$5=INDEX(Assumptions!$E$135:$E$155,MATCH('Cash flow forecast'!$B159,Assumptions!$A$135:$A$155,0)),'Cash flow forecast'!H$5=INDEX(Assumptions!$F$135:$F$155,MATCH('Cash flow forecast'!$B159,Assumptions!$A$135:$A$155,0))),SUMIFS(Assumptions!$B$135:$B$155,Assumptions!$A$135:$A$155,'Cash flow forecast'!$B159,Assumptions!$D$135:$D$155,"Annual"),0)),"")</f>
        <v>0</v>
      </c>
      <c r="I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forecast'!I$5))*(INDEX(Assumptions!$C$135:$C$155,MATCH('Cash flow forecast'!$B159,Assumptions!$A$135:$A$155,0))),IF(OR('Cash flow forecast'!I$5=INDEX(Assumptions!$E$135:$E$155,MATCH('Cash flow forecast'!$B159,Assumptions!$A$135:$A$155,0)),'Cash flow forecast'!I$5=INDEX(Assumptions!$F$135:$F$155,MATCH('Cash flow forecast'!$B159,Assumptions!$A$135:$A$155,0))),SUMIFS(Assumptions!$B$135:$B$155,Assumptions!$A$135:$A$155,'Cash flow forecast'!$B159,Assumptions!$D$135:$D$155,"Annual"),0)),"")</f>
        <v>0</v>
      </c>
      <c r="J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forecast'!J$5))*(INDEX(Assumptions!$C$135:$C$155,MATCH('Cash flow forecast'!$B159,Assumptions!$A$135:$A$155,0))),IF(OR('Cash flow forecast'!J$5=INDEX(Assumptions!$E$135:$E$155,MATCH('Cash flow forecast'!$B159,Assumptions!$A$135:$A$155,0)),'Cash flow forecast'!J$5=INDEX(Assumptions!$F$135:$F$155,MATCH('Cash flow forecast'!$B159,Assumptions!$A$135:$A$155,0))),SUMIFS(Assumptions!$B$135:$B$155,Assumptions!$A$135:$A$155,'Cash flow forecast'!$B159,Assumptions!$D$135:$D$155,"Annual"),0)),"")</f>
        <v>0</v>
      </c>
      <c r="K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forecast'!K$5))*(INDEX(Assumptions!$C$135:$C$155,MATCH('Cash flow forecast'!$B159,Assumptions!$A$135:$A$155,0))),IF(OR('Cash flow forecast'!K$5=INDEX(Assumptions!$E$135:$E$155,MATCH('Cash flow forecast'!$B159,Assumptions!$A$135:$A$155,0)),'Cash flow forecast'!K$5=INDEX(Assumptions!$F$135:$F$155,MATCH('Cash flow forecast'!$B159,Assumptions!$A$135:$A$155,0))),SUMIFS(Assumptions!$B$135:$B$155,Assumptions!$A$135:$A$155,'Cash flow forecast'!$B159,Assumptions!$D$135:$D$155,"Annual"),0)),"")</f>
        <v>0</v>
      </c>
      <c r="L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forecast'!L$5))*(INDEX(Assumptions!$C$135:$C$155,MATCH('Cash flow forecast'!$B159,Assumptions!$A$135:$A$155,0))),IF(OR('Cash flow forecast'!L$5=INDEX(Assumptions!$E$135:$E$155,MATCH('Cash flow forecast'!$B159,Assumptions!$A$135:$A$155,0)),'Cash flow forecast'!L$5=INDEX(Assumptions!$F$135:$F$155,MATCH('Cash flow forecast'!$B159,Assumptions!$A$135:$A$155,0))),SUMIFS(Assumptions!$B$135:$B$155,Assumptions!$A$135:$A$155,'Cash flow forecast'!$B159,Assumptions!$D$135:$D$155,"Annual"),0)),"")</f>
        <v>0</v>
      </c>
      <c r="M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forecast'!M$5))*(INDEX(Assumptions!$C$135:$C$155,MATCH('Cash flow forecast'!$B159,Assumptions!$A$135:$A$155,0))),IF(OR('Cash flow forecast'!M$5=INDEX(Assumptions!$E$135:$E$155,MATCH('Cash flow forecast'!$B159,Assumptions!$A$135:$A$155,0)),'Cash flow forecast'!M$5=INDEX(Assumptions!$F$135:$F$155,MATCH('Cash flow forecast'!$B159,Assumptions!$A$135:$A$155,0))),SUMIFS(Assumptions!$B$135:$B$155,Assumptions!$A$135:$A$155,'Cash flow forecast'!$B159,Assumptions!$D$135:$D$155,"Annual"),0)),"")</f>
        <v>0</v>
      </c>
      <c r="N159" s="223">
        <f>IFERROR(IF(INDEX(Assumptions!$D$135:$D$155,MATCH('Cash flow forecast'!$B159,Assumptions!$A$135:$A$155,0))="Monthly",(SUMIFS(Assumptions!$B$135:$B$155,Assumptions!$A$135:$A$155,'Cash flow forecast'!$B159,Assumptions!$E$135:$E$155,"&lt;="&amp;'Cash flow forecast'!N$5))*(INDEX(Assumptions!$C$135:$C$155,MATCH('Cash flow forecast'!$B159,Assumptions!$A$135:$A$155,0))),IF(OR('Cash flow forecast'!N$5=INDEX(Assumptions!$E$135:$E$155,MATCH('Cash flow forecast'!$B159,Assumptions!$A$135:$A$155,0)),'Cash flow forecast'!N$5=INDEX(Assumptions!$F$135:$F$155,MATCH('Cash flow forecast'!$B159,Assumptions!$A$135:$A$155,0))),SUMIFS(Assumptions!$B$135:$B$155,Assumptions!$A$135:$A$155,'Cash flow forecast'!$B159,Assumptions!$D$135:$D$155,"Annual"),0)),"")</f>
        <v>0</v>
      </c>
      <c r="O159" s="221">
        <f>IFERROR(IF(INDEX(Assumptions!$D$135:$D$155,MATCH('Cash flow forecast'!$B159,Assumptions!$A$135:$A$155,0))="Monthly",(SUMIFS(Assumptions!$B$135:$B$155,Assumptions!$A$135:$A$155,'Cash flow forecast'!$B159,Assumptions!$E$135:$E$155,"&lt;="&amp;'Cash flow forecast'!O$5))*(INDEX(Assumptions!$C$135:$C$155,MATCH('Cash flow forecast'!$B159,Assumptions!$A$135:$A$155,0))),IF(OR('Cash flow forecast'!O$5=INDEX(Assumptions!$E$135:$E$155,MATCH('Cash flow forecast'!$B159,Assumptions!$A$135:$A$155,0)),'Cash flow forecast'!O$5=INDEX(Assumptions!$F$135:$F$155,MATCH('Cash flow forecast'!$B159,Assumptions!$A$135:$A$155,0))),SUMIFS(Assumptions!$B$135:$B$155,Assumptions!$A$135:$A$155,'Cash flow forecast'!$B159,Assumptions!$D$135:$D$155,"Annual"),0)),"")</f>
        <v>225</v>
      </c>
      <c r="P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forecast'!P$5))*(INDEX(Assumptions!$C$135:$C$155,MATCH('Cash flow forecast'!$B159,Assumptions!$A$135:$A$155,0))),IF(OR('Cash flow forecast'!P$5=INDEX(Assumptions!$E$135:$E$155,MATCH('Cash flow forecast'!$B159,Assumptions!$A$135:$A$155,0)),'Cash flow forecast'!P$5=INDEX(Assumptions!$F$135:$F$155,MATCH('Cash flow forecast'!$B159,Assumptions!$A$135:$A$155,0))),SUMIFS(Assumptions!$B$135:$B$155,Assumptions!$A$135:$A$155,'Cash flow forecast'!$B159,Assumptions!$D$135:$D$155,"Annual"),0)),"")</f>
        <v>0</v>
      </c>
      <c r="Q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forecast'!Q$5))*(INDEX(Assumptions!$C$135:$C$155,MATCH('Cash flow forecast'!$B159,Assumptions!$A$135:$A$155,0))),IF(OR('Cash flow forecast'!Q$5=INDEX(Assumptions!$E$135:$E$155,MATCH('Cash flow forecast'!$B159,Assumptions!$A$135:$A$155,0)),'Cash flow forecast'!Q$5=INDEX(Assumptions!$F$135:$F$155,MATCH('Cash flow forecast'!$B159,Assumptions!$A$135:$A$155,0))),SUMIFS(Assumptions!$B$135:$B$155,Assumptions!$A$135:$A$155,'Cash flow forecast'!$B159,Assumptions!$D$135:$D$155,"Annual"),0)),"")</f>
        <v>0</v>
      </c>
      <c r="R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forecast'!R$5))*(INDEX(Assumptions!$C$135:$C$155,MATCH('Cash flow forecast'!$B159,Assumptions!$A$135:$A$155,0))),IF(OR('Cash flow forecast'!R$5=INDEX(Assumptions!$E$135:$E$155,MATCH('Cash flow forecast'!$B159,Assumptions!$A$135:$A$155,0)),'Cash flow forecast'!R$5=INDEX(Assumptions!$F$135:$F$155,MATCH('Cash flow forecast'!$B159,Assumptions!$A$135:$A$155,0))),SUMIFS(Assumptions!$B$135:$B$155,Assumptions!$A$135:$A$155,'Cash flow forecast'!$B159,Assumptions!$D$135:$D$155,"Annual"),0)),"")</f>
        <v>0</v>
      </c>
      <c r="S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forecast'!S$5))*(INDEX(Assumptions!$C$135:$C$155,MATCH('Cash flow forecast'!$B159,Assumptions!$A$135:$A$155,0))),IF(OR('Cash flow forecast'!S$5=INDEX(Assumptions!$E$135:$E$155,MATCH('Cash flow forecast'!$B159,Assumptions!$A$135:$A$155,0)),'Cash flow forecast'!S$5=INDEX(Assumptions!$F$135:$F$155,MATCH('Cash flow forecast'!$B159,Assumptions!$A$135:$A$155,0))),SUMIFS(Assumptions!$B$135:$B$155,Assumptions!$A$135:$A$155,'Cash flow forecast'!$B159,Assumptions!$D$135:$D$155,"Annual"),0)),"")</f>
        <v>0</v>
      </c>
      <c r="T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forecast'!T$5))*(INDEX(Assumptions!$C$135:$C$155,MATCH('Cash flow forecast'!$B159,Assumptions!$A$135:$A$155,0))),IF(OR('Cash flow forecast'!T$5=INDEX(Assumptions!$E$135:$E$155,MATCH('Cash flow forecast'!$B159,Assumptions!$A$135:$A$155,0)),'Cash flow forecast'!T$5=INDEX(Assumptions!$F$135:$F$155,MATCH('Cash flow forecast'!$B159,Assumptions!$A$135:$A$155,0))),SUMIFS(Assumptions!$B$135:$B$155,Assumptions!$A$135:$A$155,'Cash flow forecast'!$B159,Assumptions!$D$135:$D$155,"Annual"),0)),"")</f>
        <v>0</v>
      </c>
      <c r="U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forecast'!U$5))*(INDEX(Assumptions!$C$135:$C$155,MATCH('Cash flow forecast'!$B159,Assumptions!$A$135:$A$155,0))),IF(OR('Cash flow forecast'!U$5=INDEX(Assumptions!$E$135:$E$155,MATCH('Cash flow forecast'!$B159,Assumptions!$A$135:$A$155,0)),'Cash flow forecast'!U$5=INDEX(Assumptions!$F$135:$F$155,MATCH('Cash flow forecast'!$B159,Assumptions!$A$135:$A$155,0))),SUMIFS(Assumptions!$B$135:$B$155,Assumptions!$A$135:$A$155,'Cash flow forecast'!$B159,Assumptions!$D$135:$D$155,"Annual"),0)),"")</f>
        <v>0</v>
      </c>
      <c r="V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forecast'!V$5))*(INDEX(Assumptions!$C$135:$C$155,MATCH('Cash flow forecast'!$B159,Assumptions!$A$135:$A$155,0))),IF(OR('Cash flow forecast'!V$5=INDEX(Assumptions!$E$135:$E$155,MATCH('Cash flow forecast'!$B159,Assumptions!$A$135:$A$155,0)),'Cash flow forecast'!V$5=INDEX(Assumptions!$F$135:$F$155,MATCH('Cash flow forecast'!$B159,Assumptions!$A$135:$A$155,0))),SUMIFS(Assumptions!$B$135:$B$155,Assumptions!$A$135:$A$155,'Cash flow forecast'!$B159,Assumptions!$D$135:$D$155,"Annual"),0)),"")</f>
        <v>0</v>
      </c>
      <c r="W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forecast'!W$5))*(INDEX(Assumptions!$C$135:$C$155,MATCH('Cash flow forecast'!$B159,Assumptions!$A$135:$A$155,0))),IF(OR('Cash flow forecast'!W$5=INDEX(Assumptions!$E$135:$E$155,MATCH('Cash flow forecast'!$B159,Assumptions!$A$135:$A$155,0)),'Cash flow forecast'!W$5=INDEX(Assumptions!$F$135:$F$155,MATCH('Cash flow forecast'!$B159,Assumptions!$A$135:$A$155,0))),SUMIFS(Assumptions!$B$135:$B$155,Assumptions!$A$135:$A$155,'Cash flow forecast'!$B159,Assumptions!$D$135:$D$155,"Annual"),0)),"")</f>
        <v>0</v>
      </c>
      <c r="X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forecast'!X$5))*(INDEX(Assumptions!$C$135:$C$155,MATCH('Cash flow forecast'!$B159,Assumptions!$A$135:$A$155,0))),IF(OR('Cash flow forecast'!X$5=INDEX(Assumptions!$E$135:$E$155,MATCH('Cash flow forecast'!$B159,Assumptions!$A$135:$A$155,0)),'Cash flow forecast'!X$5=INDEX(Assumptions!$F$135:$F$155,MATCH('Cash flow forecast'!$B159,Assumptions!$A$135:$A$155,0))),SUMIFS(Assumptions!$B$135:$B$155,Assumptions!$A$135:$A$155,'Cash flow forecast'!$B159,Assumptions!$D$135:$D$155,"Annual"),0)),"")</f>
        <v>0</v>
      </c>
      <c r="Y159" s="222">
        <f>IFERROR(IF(INDEX(Assumptions!$D$135:$D$155,MATCH('Cash flow forecast'!$B159,Assumptions!$A$135:$A$155,0))="Monthly",(SUMIFS(Assumptions!$B$135:$B$155,Assumptions!$A$135:$A$155,'Cash flow forecast'!$B159,Assumptions!$E$135:$E$155,"&lt;="&amp;'Cash flow forecast'!Y$5))*(INDEX(Assumptions!$C$135:$C$155,MATCH('Cash flow forecast'!$B159,Assumptions!$A$135:$A$155,0))),IF(OR('Cash flow forecast'!Y$5=INDEX(Assumptions!$E$135:$E$155,MATCH('Cash flow forecast'!$B159,Assumptions!$A$135:$A$155,0)),'Cash flow forecast'!Y$5=INDEX(Assumptions!$F$135:$F$155,MATCH('Cash flow forecast'!$B159,Assumptions!$A$135:$A$155,0))),SUMIFS(Assumptions!$B$135:$B$155,Assumptions!$A$135:$A$155,'Cash flow forecast'!$B159,Assumptions!$D$135:$D$155,"Annual"),0)),"")</f>
        <v>0</v>
      </c>
      <c r="Z159" s="223">
        <f>IFERROR(IF(INDEX(Assumptions!$D$135:$D$155,MATCH('Cash flow forecast'!$B159,Assumptions!$A$135:$A$155,0))="Monthly",(SUMIFS(Assumptions!$B$135:$B$155,Assumptions!$A$135:$A$155,'Cash flow forecast'!$B159,Assumptions!$E$135:$E$155,"&lt;="&amp;'Cash flow forecast'!Z$5))*(INDEX(Assumptions!$C$135:$C$155,MATCH('Cash flow forecast'!$B159,Assumptions!$A$135:$A$155,0))),IF(OR('Cash flow forecast'!Z$5=INDEX(Assumptions!$E$135:$E$155,MATCH('Cash flow forecast'!$B159,Assumptions!$A$135:$A$155,0)),'Cash flow forecast'!Z$5=INDEX(Assumptions!$F$135:$F$155,MATCH('Cash flow forecast'!$B159,Assumptions!$A$135:$A$155,0))),SUMIFS(Assumptions!$B$135:$B$155,Assumptions!$A$135:$A$155,'Cash flow forecast'!$B159,Assumptions!$D$135:$D$155,"Annual"),0)),"")</f>
        <v>0</v>
      </c>
      <c r="AA159" s="221">
        <f t="shared" si="172"/>
        <v>225</v>
      </c>
      <c r="AB159" s="224">
        <f t="shared" si="172"/>
        <v>0</v>
      </c>
      <c r="AC159" s="224">
        <f t="shared" si="172"/>
        <v>0</v>
      </c>
      <c r="AD159" s="224">
        <f t="shared" si="172"/>
        <v>0</v>
      </c>
      <c r="AE159" s="225">
        <f t="shared" si="173"/>
        <v>225</v>
      </c>
      <c r="AF159" s="221">
        <f t="shared" ref="AF159:AI194" si="176">SUMIFS($O159:$Z159,$O$6:$Z$6,AF$5)</f>
        <v>225</v>
      </c>
      <c r="AG159" s="224">
        <f t="shared" si="174"/>
        <v>0</v>
      </c>
      <c r="AH159" s="224">
        <f t="shared" si="174"/>
        <v>0</v>
      </c>
      <c r="AI159" s="223">
        <f t="shared" si="174"/>
        <v>0</v>
      </c>
      <c r="AJ159" s="225">
        <f t="shared" ref="AJ159:AJ194" si="177">SUM($O159:$Z159)</f>
        <v>225</v>
      </c>
      <c r="AK159" s="243">
        <f t="shared" si="175"/>
        <v>4.4016370855570134E-4</v>
      </c>
    </row>
    <row r="160" spans="2:37" ht="22.15" hidden="1" customHeight="1" outlineLevel="1" x14ac:dyDescent="0.25">
      <c r="B160" s="91" t="str">
        <f>IF(Assumptions!$A137="","",Assumptions!$A137)</f>
        <v>Test 3</v>
      </c>
      <c r="C160" s="221">
        <f>IFERROR(IF(INDEX(Assumptions!$D$135:$D$155,MATCH('Cash flow forecast'!$B160,Assumptions!$A$135:$A$155,0))="Monthly",(SUMIFS(Assumptions!$B$135:$B$155,Assumptions!$A$135:$A$155,'Cash flow forecast'!$B160,Assumptions!$E$135:$E$155,"&lt;="&amp;'Cash flow forecast'!C$5))*(INDEX(Assumptions!$C$135:$C$155,MATCH('Cash flow forecast'!$B160,Assumptions!$A$135:$A$155,0))),IF(OR('Cash flow forecast'!C$5=INDEX(Assumptions!$E$135:$E$155,MATCH('Cash flow forecast'!$B160,Assumptions!$A$135:$A$155,0)),'Cash flow forecast'!C$5=INDEX(Assumptions!$F$135:$F$155,MATCH('Cash flow forecast'!$B160,Assumptions!$A$135:$A$155,0))),SUMIFS(Assumptions!$B$135:$B$155,Assumptions!$A$135:$A$155,'Cash flow forecast'!$B160,Assumptions!$D$135:$D$155,"Annual"),0)),"")</f>
        <v>223.96</v>
      </c>
      <c r="D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forecast'!D$5))*(INDEX(Assumptions!$C$135:$C$155,MATCH('Cash flow forecast'!$B160,Assumptions!$A$135:$A$155,0))),IF(OR('Cash flow forecast'!D$5=INDEX(Assumptions!$E$135:$E$155,MATCH('Cash flow forecast'!$B160,Assumptions!$A$135:$A$155,0)),'Cash flow forecast'!D$5=INDEX(Assumptions!$F$135:$F$155,MATCH('Cash flow forecast'!$B160,Assumptions!$A$135:$A$155,0))),SUMIFS(Assumptions!$B$135:$B$155,Assumptions!$A$135:$A$155,'Cash flow forecast'!$B160,Assumptions!$D$135:$D$155,"Annual"),0)),"")</f>
        <v>0</v>
      </c>
      <c r="E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forecast'!E$5))*(INDEX(Assumptions!$C$135:$C$155,MATCH('Cash flow forecast'!$B160,Assumptions!$A$135:$A$155,0))),IF(OR('Cash flow forecast'!E$5=INDEX(Assumptions!$E$135:$E$155,MATCH('Cash flow forecast'!$B160,Assumptions!$A$135:$A$155,0)),'Cash flow forecast'!E$5=INDEX(Assumptions!$F$135:$F$155,MATCH('Cash flow forecast'!$B160,Assumptions!$A$135:$A$155,0))),SUMIFS(Assumptions!$B$135:$B$155,Assumptions!$A$135:$A$155,'Cash flow forecast'!$B160,Assumptions!$D$135:$D$155,"Annual"),0)),"")</f>
        <v>0</v>
      </c>
      <c r="F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forecast'!F$5))*(INDEX(Assumptions!$C$135:$C$155,MATCH('Cash flow forecast'!$B160,Assumptions!$A$135:$A$155,0))),IF(OR('Cash flow forecast'!F$5=INDEX(Assumptions!$E$135:$E$155,MATCH('Cash flow forecast'!$B160,Assumptions!$A$135:$A$155,0)),'Cash flow forecast'!F$5=INDEX(Assumptions!$F$135:$F$155,MATCH('Cash flow forecast'!$B160,Assumptions!$A$135:$A$155,0))),SUMIFS(Assumptions!$B$135:$B$155,Assumptions!$A$135:$A$155,'Cash flow forecast'!$B160,Assumptions!$D$135:$D$155,"Annual"),0)),"")</f>
        <v>0</v>
      </c>
      <c r="G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forecast'!G$5))*(INDEX(Assumptions!$C$135:$C$155,MATCH('Cash flow forecast'!$B160,Assumptions!$A$135:$A$155,0))),IF(OR('Cash flow forecast'!G$5=INDEX(Assumptions!$E$135:$E$155,MATCH('Cash flow forecast'!$B160,Assumptions!$A$135:$A$155,0)),'Cash flow forecast'!G$5=INDEX(Assumptions!$F$135:$F$155,MATCH('Cash flow forecast'!$B160,Assumptions!$A$135:$A$155,0))),SUMIFS(Assumptions!$B$135:$B$155,Assumptions!$A$135:$A$155,'Cash flow forecast'!$B160,Assumptions!$D$135:$D$155,"Annual"),0)),"")</f>
        <v>0</v>
      </c>
      <c r="H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forecast'!H$5))*(INDEX(Assumptions!$C$135:$C$155,MATCH('Cash flow forecast'!$B160,Assumptions!$A$135:$A$155,0))),IF(OR('Cash flow forecast'!H$5=INDEX(Assumptions!$E$135:$E$155,MATCH('Cash flow forecast'!$B160,Assumptions!$A$135:$A$155,0)),'Cash flow forecast'!H$5=INDEX(Assumptions!$F$135:$F$155,MATCH('Cash flow forecast'!$B160,Assumptions!$A$135:$A$155,0))),SUMIFS(Assumptions!$B$135:$B$155,Assumptions!$A$135:$A$155,'Cash flow forecast'!$B160,Assumptions!$D$135:$D$155,"Annual"),0)),"")</f>
        <v>0</v>
      </c>
      <c r="I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forecast'!I$5))*(INDEX(Assumptions!$C$135:$C$155,MATCH('Cash flow forecast'!$B160,Assumptions!$A$135:$A$155,0))),IF(OR('Cash flow forecast'!I$5=INDEX(Assumptions!$E$135:$E$155,MATCH('Cash flow forecast'!$B160,Assumptions!$A$135:$A$155,0)),'Cash flow forecast'!I$5=INDEX(Assumptions!$F$135:$F$155,MATCH('Cash flow forecast'!$B160,Assumptions!$A$135:$A$155,0))),SUMIFS(Assumptions!$B$135:$B$155,Assumptions!$A$135:$A$155,'Cash flow forecast'!$B160,Assumptions!$D$135:$D$155,"Annual"),0)),"")</f>
        <v>0</v>
      </c>
      <c r="J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forecast'!J$5))*(INDEX(Assumptions!$C$135:$C$155,MATCH('Cash flow forecast'!$B160,Assumptions!$A$135:$A$155,0))),IF(OR('Cash flow forecast'!J$5=INDEX(Assumptions!$E$135:$E$155,MATCH('Cash flow forecast'!$B160,Assumptions!$A$135:$A$155,0)),'Cash flow forecast'!J$5=INDEX(Assumptions!$F$135:$F$155,MATCH('Cash flow forecast'!$B160,Assumptions!$A$135:$A$155,0))),SUMIFS(Assumptions!$B$135:$B$155,Assumptions!$A$135:$A$155,'Cash flow forecast'!$B160,Assumptions!$D$135:$D$155,"Annual"),0)),"")</f>
        <v>0</v>
      </c>
      <c r="K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forecast'!K$5))*(INDEX(Assumptions!$C$135:$C$155,MATCH('Cash flow forecast'!$B160,Assumptions!$A$135:$A$155,0))),IF(OR('Cash flow forecast'!K$5=INDEX(Assumptions!$E$135:$E$155,MATCH('Cash flow forecast'!$B160,Assumptions!$A$135:$A$155,0)),'Cash flow forecast'!K$5=INDEX(Assumptions!$F$135:$F$155,MATCH('Cash flow forecast'!$B160,Assumptions!$A$135:$A$155,0))),SUMIFS(Assumptions!$B$135:$B$155,Assumptions!$A$135:$A$155,'Cash flow forecast'!$B160,Assumptions!$D$135:$D$155,"Annual"),0)),"")</f>
        <v>0</v>
      </c>
      <c r="L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forecast'!L$5))*(INDEX(Assumptions!$C$135:$C$155,MATCH('Cash flow forecast'!$B160,Assumptions!$A$135:$A$155,0))),IF(OR('Cash flow forecast'!L$5=INDEX(Assumptions!$E$135:$E$155,MATCH('Cash flow forecast'!$B160,Assumptions!$A$135:$A$155,0)),'Cash flow forecast'!L$5=INDEX(Assumptions!$F$135:$F$155,MATCH('Cash flow forecast'!$B160,Assumptions!$A$135:$A$155,0))),SUMIFS(Assumptions!$B$135:$B$155,Assumptions!$A$135:$A$155,'Cash flow forecast'!$B160,Assumptions!$D$135:$D$155,"Annual"),0)),"")</f>
        <v>0</v>
      </c>
      <c r="M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forecast'!M$5))*(INDEX(Assumptions!$C$135:$C$155,MATCH('Cash flow forecast'!$B160,Assumptions!$A$135:$A$155,0))),IF(OR('Cash flow forecast'!M$5=INDEX(Assumptions!$E$135:$E$155,MATCH('Cash flow forecast'!$B160,Assumptions!$A$135:$A$155,0)),'Cash flow forecast'!M$5=INDEX(Assumptions!$F$135:$F$155,MATCH('Cash flow forecast'!$B160,Assumptions!$A$135:$A$155,0))),SUMIFS(Assumptions!$B$135:$B$155,Assumptions!$A$135:$A$155,'Cash flow forecast'!$B160,Assumptions!$D$135:$D$155,"Annual"),0)),"")</f>
        <v>0</v>
      </c>
      <c r="N160" s="223">
        <f>IFERROR(IF(INDEX(Assumptions!$D$135:$D$155,MATCH('Cash flow forecast'!$B160,Assumptions!$A$135:$A$155,0))="Monthly",(SUMIFS(Assumptions!$B$135:$B$155,Assumptions!$A$135:$A$155,'Cash flow forecast'!$B160,Assumptions!$E$135:$E$155,"&lt;="&amp;'Cash flow forecast'!N$5))*(INDEX(Assumptions!$C$135:$C$155,MATCH('Cash flow forecast'!$B160,Assumptions!$A$135:$A$155,0))),IF(OR('Cash flow forecast'!N$5=INDEX(Assumptions!$E$135:$E$155,MATCH('Cash flow forecast'!$B160,Assumptions!$A$135:$A$155,0)),'Cash flow forecast'!N$5=INDEX(Assumptions!$F$135:$F$155,MATCH('Cash flow forecast'!$B160,Assumptions!$A$135:$A$155,0))),SUMIFS(Assumptions!$B$135:$B$155,Assumptions!$A$135:$A$155,'Cash flow forecast'!$B160,Assumptions!$D$135:$D$155,"Annual"),0)),"")</f>
        <v>0</v>
      </c>
      <c r="O160" s="221">
        <f>IFERROR(IF(INDEX(Assumptions!$D$135:$D$155,MATCH('Cash flow forecast'!$B160,Assumptions!$A$135:$A$155,0))="Monthly",(SUMIFS(Assumptions!$B$135:$B$155,Assumptions!$A$135:$A$155,'Cash flow forecast'!$B160,Assumptions!$E$135:$E$155,"&lt;="&amp;'Cash flow forecast'!O$5))*(INDEX(Assumptions!$C$135:$C$155,MATCH('Cash flow forecast'!$B160,Assumptions!$A$135:$A$155,0))),IF(OR('Cash flow forecast'!O$5=INDEX(Assumptions!$E$135:$E$155,MATCH('Cash flow forecast'!$B160,Assumptions!$A$135:$A$155,0)),'Cash flow forecast'!O$5=INDEX(Assumptions!$F$135:$F$155,MATCH('Cash flow forecast'!$B160,Assumptions!$A$135:$A$155,0))),SUMIFS(Assumptions!$B$135:$B$155,Assumptions!$A$135:$A$155,'Cash flow forecast'!$B160,Assumptions!$D$135:$D$155,"Annual"),0)),"")</f>
        <v>223.96</v>
      </c>
      <c r="P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forecast'!P$5))*(INDEX(Assumptions!$C$135:$C$155,MATCH('Cash flow forecast'!$B160,Assumptions!$A$135:$A$155,0))),IF(OR('Cash flow forecast'!P$5=INDEX(Assumptions!$E$135:$E$155,MATCH('Cash flow forecast'!$B160,Assumptions!$A$135:$A$155,0)),'Cash flow forecast'!P$5=INDEX(Assumptions!$F$135:$F$155,MATCH('Cash flow forecast'!$B160,Assumptions!$A$135:$A$155,0))),SUMIFS(Assumptions!$B$135:$B$155,Assumptions!$A$135:$A$155,'Cash flow forecast'!$B160,Assumptions!$D$135:$D$155,"Annual"),0)),"")</f>
        <v>0</v>
      </c>
      <c r="Q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forecast'!Q$5))*(INDEX(Assumptions!$C$135:$C$155,MATCH('Cash flow forecast'!$B160,Assumptions!$A$135:$A$155,0))),IF(OR('Cash flow forecast'!Q$5=INDEX(Assumptions!$E$135:$E$155,MATCH('Cash flow forecast'!$B160,Assumptions!$A$135:$A$155,0)),'Cash flow forecast'!Q$5=INDEX(Assumptions!$F$135:$F$155,MATCH('Cash flow forecast'!$B160,Assumptions!$A$135:$A$155,0))),SUMIFS(Assumptions!$B$135:$B$155,Assumptions!$A$135:$A$155,'Cash flow forecast'!$B160,Assumptions!$D$135:$D$155,"Annual"),0)),"")</f>
        <v>0</v>
      </c>
      <c r="R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forecast'!R$5))*(INDEX(Assumptions!$C$135:$C$155,MATCH('Cash flow forecast'!$B160,Assumptions!$A$135:$A$155,0))),IF(OR('Cash flow forecast'!R$5=INDEX(Assumptions!$E$135:$E$155,MATCH('Cash flow forecast'!$B160,Assumptions!$A$135:$A$155,0)),'Cash flow forecast'!R$5=INDEX(Assumptions!$F$135:$F$155,MATCH('Cash flow forecast'!$B160,Assumptions!$A$135:$A$155,0))),SUMIFS(Assumptions!$B$135:$B$155,Assumptions!$A$135:$A$155,'Cash flow forecast'!$B160,Assumptions!$D$135:$D$155,"Annual"),0)),"")</f>
        <v>0</v>
      </c>
      <c r="S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forecast'!S$5))*(INDEX(Assumptions!$C$135:$C$155,MATCH('Cash flow forecast'!$B160,Assumptions!$A$135:$A$155,0))),IF(OR('Cash flow forecast'!S$5=INDEX(Assumptions!$E$135:$E$155,MATCH('Cash flow forecast'!$B160,Assumptions!$A$135:$A$155,0)),'Cash flow forecast'!S$5=INDEX(Assumptions!$F$135:$F$155,MATCH('Cash flow forecast'!$B160,Assumptions!$A$135:$A$155,0))),SUMIFS(Assumptions!$B$135:$B$155,Assumptions!$A$135:$A$155,'Cash flow forecast'!$B160,Assumptions!$D$135:$D$155,"Annual"),0)),"")</f>
        <v>0</v>
      </c>
      <c r="T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forecast'!T$5))*(INDEX(Assumptions!$C$135:$C$155,MATCH('Cash flow forecast'!$B160,Assumptions!$A$135:$A$155,0))),IF(OR('Cash flow forecast'!T$5=INDEX(Assumptions!$E$135:$E$155,MATCH('Cash flow forecast'!$B160,Assumptions!$A$135:$A$155,0)),'Cash flow forecast'!T$5=INDEX(Assumptions!$F$135:$F$155,MATCH('Cash flow forecast'!$B160,Assumptions!$A$135:$A$155,0))),SUMIFS(Assumptions!$B$135:$B$155,Assumptions!$A$135:$A$155,'Cash flow forecast'!$B160,Assumptions!$D$135:$D$155,"Annual"),0)),"")</f>
        <v>0</v>
      </c>
      <c r="U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forecast'!U$5))*(INDEX(Assumptions!$C$135:$C$155,MATCH('Cash flow forecast'!$B160,Assumptions!$A$135:$A$155,0))),IF(OR('Cash flow forecast'!U$5=INDEX(Assumptions!$E$135:$E$155,MATCH('Cash flow forecast'!$B160,Assumptions!$A$135:$A$155,0)),'Cash flow forecast'!U$5=INDEX(Assumptions!$F$135:$F$155,MATCH('Cash flow forecast'!$B160,Assumptions!$A$135:$A$155,0))),SUMIFS(Assumptions!$B$135:$B$155,Assumptions!$A$135:$A$155,'Cash flow forecast'!$B160,Assumptions!$D$135:$D$155,"Annual"),0)),"")</f>
        <v>0</v>
      </c>
      <c r="V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forecast'!V$5))*(INDEX(Assumptions!$C$135:$C$155,MATCH('Cash flow forecast'!$B160,Assumptions!$A$135:$A$155,0))),IF(OR('Cash flow forecast'!V$5=INDEX(Assumptions!$E$135:$E$155,MATCH('Cash flow forecast'!$B160,Assumptions!$A$135:$A$155,0)),'Cash flow forecast'!V$5=INDEX(Assumptions!$F$135:$F$155,MATCH('Cash flow forecast'!$B160,Assumptions!$A$135:$A$155,0))),SUMIFS(Assumptions!$B$135:$B$155,Assumptions!$A$135:$A$155,'Cash flow forecast'!$B160,Assumptions!$D$135:$D$155,"Annual"),0)),"")</f>
        <v>0</v>
      </c>
      <c r="W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forecast'!W$5))*(INDEX(Assumptions!$C$135:$C$155,MATCH('Cash flow forecast'!$B160,Assumptions!$A$135:$A$155,0))),IF(OR('Cash flow forecast'!W$5=INDEX(Assumptions!$E$135:$E$155,MATCH('Cash flow forecast'!$B160,Assumptions!$A$135:$A$155,0)),'Cash flow forecast'!W$5=INDEX(Assumptions!$F$135:$F$155,MATCH('Cash flow forecast'!$B160,Assumptions!$A$135:$A$155,0))),SUMIFS(Assumptions!$B$135:$B$155,Assumptions!$A$135:$A$155,'Cash flow forecast'!$B160,Assumptions!$D$135:$D$155,"Annual"),0)),"")</f>
        <v>0</v>
      </c>
      <c r="X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forecast'!X$5))*(INDEX(Assumptions!$C$135:$C$155,MATCH('Cash flow forecast'!$B160,Assumptions!$A$135:$A$155,0))),IF(OR('Cash flow forecast'!X$5=INDEX(Assumptions!$E$135:$E$155,MATCH('Cash flow forecast'!$B160,Assumptions!$A$135:$A$155,0)),'Cash flow forecast'!X$5=INDEX(Assumptions!$F$135:$F$155,MATCH('Cash flow forecast'!$B160,Assumptions!$A$135:$A$155,0))),SUMIFS(Assumptions!$B$135:$B$155,Assumptions!$A$135:$A$155,'Cash flow forecast'!$B160,Assumptions!$D$135:$D$155,"Annual"),0)),"")</f>
        <v>0</v>
      </c>
      <c r="Y160" s="222">
        <f>IFERROR(IF(INDEX(Assumptions!$D$135:$D$155,MATCH('Cash flow forecast'!$B160,Assumptions!$A$135:$A$155,0))="Monthly",(SUMIFS(Assumptions!$B$135:$B$155,Assumptions!$A$135:$A$155,'Cash flow forecast'!$B160,Assumptions!$E$135:$E$155,"&lt;="&amp;'Cash flow forecast'!Y$5))*(INDEX(Assumptions!$C$135:$C$155,MATCH('Cash flow forecast'!$B160,Assumptions!$A$135:$A$155,0))),IF(OR('Cash flow forecast'!Y$5=INDEX(Assumptions!$E$135:$E$155,MATCH('Cash flow forecast'!$B160,Assumptions!$A$135:$A$155,0)),'Cash flow forecast'!Y$5=INDEX(Assumptions!$F$135:$F$155,MATCH('Cash flow forecast'!$B160,Assumptions!$A$135:$A$155,0))),SUMIFS(Assumptions!$B$135:$B$155,Assumptions!$A$135:$A$155,'Cash flow forecast'!$B160,Assumptions!$D$135:$D$155,"Annual"),0)),"")</f>
        <v>0</v>
      </c>
      <c r="Z160" s="223">
        <f>IFERROR(IF(INDEX(Assumptions!$D$135:$D$155,MATCH('Cash flow forecast'!$B160,Assumptions!$A$135:$A$155,0))="Monthly",(SUMIFS(Assumptions!$B$135:$B$155,Assumptions!$A$135:$A$155,'Cash flow forecast'!$B160,Assumptions!$E$135:$E$155,"&lt;="&amp;'Cash flow forecast'!Z$5))*(INDEX(Assumptions!$C$135:$C$155,MATCH('Cash flow forecast'!$B160,Assumptions!$A$135:$A$155,0))),IF(OR('Cash flow forecast'!Z$5=INDEX(Assumptions!$E$135:$E$155,MATCH('Cash flow forecast'!$B160,Assumptions!$A$135:$A$155,0)),'Cash flow forecast'!Z$5=INDEX(Assumptions!$F$135:$F$155,MATCH('Cash flow forecast'!$B160,Assumptions!$A$135:$A$155,0))),SUMIFS(Assumptions!$B$135:$B$155,Assumptions!$A$135:$A$155,'Cash flow forecast'!$B160,Assumptions!$D$135:$D$155,"Annual"),0)),"")</f>
        <v>0</v>
      </c>
      <c r="AA160" s="221">
        <f t="shared" si="172"/>
        <v>223.96</v>
      </c>
      <c r="AB160" s="224">
        <f t="shared" si="172"/>
        <v>0</v>
      </c>
      <c r="AC160" s="224">
        <f t="shared" si="172"/>
        <v>0</v>
      </c>
      <c r="AD160" s="224">
        <f t="shared" si="172"/>
        <v>0</v>
      </c>
      <c r="AE160" s="225">
        <f t="shared" si="173"/>
        <v>223.96</v>
      </c>
      <c r="AF160" s="221">
        <f t="shared" si="176"/>
        <v>223.96</v>
      </c>
      <c r="AG160" s="224">
        <f t="shared" si="174"/>
        <v>0</v>
      </c>
      <c r="AH160" s="224">
        <f t="shared" si="174"/>
        <v>0</v>
      </c>
      <c r="AI160" s="223">
        <f t="shared" si="174"/>
        <v>0</v>
      </c>
      <c r="AJ160" s="225">
        <f t="shared" si="177"/>
        <v>223.96</v>
      </c>
      <c r="AK160" s="243">
        <f t="shared" si="175"/>
        <v>4.3812917408059943E-4</v>
      </c>
    </row>
    <row r="161" spans="2:37" ht="22.15" hidden="1" customHeight="1" outlineLevel="1" x14ac:dyDescent="0.25">
      <c r="B161" s="91" t="str">
        <f>IF(Assumptions!$A138="","",Assumptions!$A138)</f>
        <v>Test 4</v>
      </c>
      <c r="C161" s="221">
        <f>IFERROR(IF(INDEX(Assumptions!$D$135:$D$155,MATCH('Cash flow forecast'!$B161,Assumptions!$A$135:$A$155,0))="Monthly",(SUMIFS(Assumptions!$B$135:$B$155,Assumptions!$A$135:$A$155,'Cash flow forecast'!$B161,Assumptions!$E$135:$E$155,"&lt;="&amp;'Cash flow forecast'!C$5))*(INDEX(Assumptions!$C$135:$C$155,MATCH('Cash flow forecast'!$B161,Assumptions!$A$135:$A$155,0))),IF(OR('Cash flow forecast'!C$5=INDEX(Assumptions!$E$135:$E$155,MATCH('Cash flow forecast'!$B161,Assumptions!$A$135:$A$155,0)),'Cash flow forecast'!C$5=INDEX(Assumptions!$F$135:$F$155,MATCH('Cash flow forecast'!$B161,Assumptions!$A$135:$A$155,0))),SUMIFS(Assumptions!$B$135:$B$155,Assumptions!$A$135:$A$155,'Cash flow forecast'!$B161,Assumptions!$D$135:$D$155,"Annual"),0)),"")</f>
        <v>16</v>
      </c>
      <c r="D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forecast'!D$5))*(INDEX(Assumptions!$C$135:$C$155,MATCH('Cash flow forecast'!$B161,Assumptions!$A$135:$A$155,0))),IF(OR('Cash flow forecast'!D$5=INDEX(Assumptions!$E$135:$E$155,MATCH('Cash flow forecast'!$B161,Assumptions!$A$135:$A$155,0)),'Cash flow forecast'!D$5=INDEX(Assumptions!$F$135:$F$155,MATCH('Cash flow forecast'!$B161,Assumptions!$A$135:$A$155,0))),SUMIFS(Assumptions!$B$135:$B$155,Assumptions!$A$135:$A$155,'Cash flow forecast'!$B161,Assumptions!$D$135:$D$155,"Annual"),0)),"")</f>
        <v>16</v>
      </c>
      <c r="E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forecast'!E$5))*(INDEX(Assumptions!$C$135:$C$155,MATCH('Cash flow forecast'!$B161,Assumptions!$A$135:$A$155,0))),IF(OR('Cash flow forecast'!E$5=INDEX(Assumptions!$E$135:$E$155,MATCH('Cash flow forecast'!$B161,Assumptions!$A$135:$A$155,0)),'Cash flow forecast'!E$5=INDEX(Assumptions!$F$135:$F$155,MATCH('Cash flow forecast'!$B161,Assumptions!$A$135:$A$155,0))),SUMIFS(Assumptions!$B$135:$B$155,Assumptions!$A$135:$A$155,'Cash flow forecast'!$B161,Assumptions!$D$135:$D$155,"Annual"),0)),"")</f>
        <v>16</v>
      </c>
      <c r="F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forecast'!F$5))*(INDEX(Assumptions!$C$135:$C$155,MATCH('Cash flow forecast'!$B161,Assumptions!$A$135:$A$155,0))),IF(OR('Cash flow forecast'!F$5=INDEX(Assumptions!$E$135:$E$155,MATCH('Cash flow forecast'!$B161,Assumptions!$A$135:$A$155,0)),'Cash flow forecast'!F$5=INDEX(Assumptions!$F$135:$F$155,MATCH('Cash flow forecast'!$B161,Assumptions!$A$135:$A$155,0))),SUMIFS(Assumptions!$B$135:$B$155,Assumptions!$A$135:$A$155,'Cash flow forecast'!$B161,Assumptions!$D$135:$D$155,"Annual"),0)),"")</f>
        <v>16</v>
      </c>
      <c r="G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forecast'!G$5))*(INDEX(Assumptions!$C$135:$C$155,MATCH('Cash flow forecast'!$B161,Assumptions!$A$135:$A$155,0))),IF(OR('Cash flow forecast'!G$5=INDEX(Assumptions!$E$135:$E$155,MATCH('Cash flow forecast'!$B161,Assumptions!$A$135:$A$155,0)),'Cash flow forecast'!G$5=INDEX(Assumptions!$F$135:$F$155,MATCH('Cash flow forecast'!$B161,Assumptions!$A$135:$A$155,0))),SUMIFS(Assumptions!$B$135:$B$155,Assumptions!$A$135:$A$155,'Cash flow forecast'!$B161,Assumptions!$D$135:$D$155,"Annual"),0)),"")</f>
        <v>16</v>
      </c>
      <c r="H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forecast'!H$5))*(INDEX(Assumptions!$C$135:$C$155,MATCH('Cash flow forecast'!$B161,Assumptions!$A$135:$A$155,0))),IF(OR('Cash flow forecast'!H$5=INDEX(Assumptions!$E$135:$E$155,MATCH('Cash flow forecast'!$B161,Assumptions!$A$135:$A$155,0)),'Cash flow forecast'!H$5=INDEX(Assumptions!$F$135:$F$155,MATCH('Cash flow forecast'!$B161,Assumptions!$A$135:$A$155,0))),SUMIFS(Assumptions!$B$135:$B$155,Assumptions!$A$135:$A$155,'Cash flow forecast'!$B161,Assumptions!$D$135:$D$155,"Annual"),0)),"")</f>
        <v>16</v>
      </c>
      <c r="I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forecast'!I$5))*(INDEX(Assumptions!$C$135:$C$155,MATCH('Cash flow forecast'!$B161,Assumptions!$A$135:$A$155,0))),IF(OR('Cash flow forecast'!I$5=INDEX(Assumptions!$E$135:$E$155,MATCH('Cash flow forecast'!$B161,Assumptions!$A$135:$A$155,0)),'Cash flow forecast'!I$5=INDEX(Assumptions!$F$135:$F$155,MATCH('Cash flow forecast'!$B161,Assumptions!$A$135:$A$155,0))),SUMIFS(Assumptions!$B$135:$B$155,Assumptions!$A$135:$A$155,'Cash flow forecast'!$B161,Assumptions!$D$135:$D$155,"Annual"),0)),"")</f>
        <v>16</v>
      </c>
      <c r="J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forecast'!J$5))*(INDEX(Assumptions!$C$135:$C$155,MATCH('Cash flow forecast'!$B161,Assumptions!$A$135:$A$155,0))),IF(OR('Cash flow forecast'!J$5=INDEX(Assumptions!$E$135:$E$155,MATCH('Cash flow forecast'!$B161,Assumptions!$A$135:$A$155,0)),'Cash flow forecast'!J$5=INDEX(Assumptions!$F$135:$F$155,MATCH('Cash flow forecast'!$B161,Assumptions!$A$135:$A$155,0))),SUMIFS(Assumptions!$B$135:$B$155,Assumptions!$A$135:$A$155,'Cash flow forecast'!$B161,Assumptions!$D$135:$D$155,"Annual"),0)),"")</f>
        <v>16</v>
      </c>
      <c r="K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forecast'!K$5))*(INDEX(Assumptions!$C$135:$C$155,MATCH('Cash flow forecast'!$B161,Assumptions!$A$135:$A$155,0))),IF(OR('Cash flow forecast'!K$5=INDEX(Assumptions!$E$135:$E$155,MATCH('Cash flow forecast'!$B161,Assumptions!$A$135:$A$155,0)),'Cash flow forecast'!K$5=INDEX(Assumptions!$F$135:$F$155,MATCH('Cash flow forecast'!$B161,Assumptions!$A$135:$A$155,0))),SUMIFS(Assumptions!$B$135:$B$155,Assumptions!$A$135:$A$155,'Cash flow forecast'!$B161,Assumptions!$D$135:$D$155,"Annual"),0)),"")</f>
        <v>16</v>
      </c>
      <c r="L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forecast'!L$5))*(INDEX(Assumptions!$C$135:$C$155,MATCH('Cash flow forecast'!$B161,Assumptions!$A$135:$A$155,0))),IF(OR('Cash flow forecast'!L$5=INDEX(Assumptions!$E$135:$E$155,MATCH('Cash flow forecast'!$B161,Assumptions!$A$135:$A$155,0)),'Cash flow forecast'!L$5=INDEX(Assumptions!$F$135:$F$155,MATCH('Cash flow forecast'!$B161,Assumptions!$A$135:$A$155,0))),SUMIFS(Assumptions!$B$135:$B$155,Assumptions!$A$135:$A$155,'Cash flow forecast'!$B161,Assumptions!$D$135:$D$155,"Annual"),0)),"")</f>
        <v>16</v>
      </c>
      <c r="M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forecast'!M$5))*(INDEX(Assumptions!$C$135:$C$155,MATCH('Cash flow forecast'!$B161,Assumptions!$A$135:$A$155,0))),IF(OR('Cash flow forecast'!M$5=INDEX(Assumptions!$E$135:$E$155,MATCH('Cash flow forecast'!$B161,Assumptions!$A$135:$A$155,0)),'Cash flow forecast'!M$5=INDEX(Assumptions!$F$135:$F$155,MATCH('Cash flow forecast'!$B161,Assumptions!$A$135:$A$155,0))),SUMIFS(Assumptions!$B$135:$B$155,Assumptions!$A$135:$A$155,'Cash flow forecast'!$B161,Assumptions!$D$135:$D$155,"Annual"),0)),"")</f>
        <v>16</v>
      </c>
      <c r="N161" s="223">
        <f>IFERROR(IF(INDEX(Assumptions!$D$135:$D$155,MATCH('Cash flow forecast'!$B161,Assumptions!$A$135:$A$155,0))="Monthly",(SUMIFS(Assumptions!$B$135:$B$155,Assumptions!$A$135:$A$155,'Cash flow forecast'!$B161,Assumptions!$E$135:$E$155,"&lt;="&amp;'Cash flow forecast'!N$5))*(INDEX(Assumptions!$C$135:$C$155,MATCH('Cash flow forecast'!$B161,Assumptions!$A$135:$A$155,0))),IF(OR('Cash flow forecast'!N$5=INDEX(Assumptions!$E$135:$E$155,MATCH('Cash flow forecast'!$B161,Assumptions!$A$135:$A$155,0)),'Cash flow forecast'!N$5=INDEX(Assumptions!$F$135:$F$155,MATCH('Cash flow forecast'!$B161,Assumptions!$A$135:$A$155,0))),SUMIFS(Assumptions!$B$135:$B$155,Assumptions!$A$135:$A$155,'Cash flow forecast'!$B161,Assumptions!$D$135:$D$155,"Annual"),0)),"")</f>
        <v>16</v>
      </c>
      <c r="O161" s="221">
        <f>IFERROR(IF(INDEX(Assumptions!$D$135:$D$155,MATCH('Cash flow forecast'!$B161,Assumptions!$A$135:$A$155,0))="Monthly",(SUMIFS(Assumptions!$B$135:$B$155,Assumptions!$A$135:$A$155,'Cash flow forecast'!$B161,Assumptions!$E$135:$E$155,"&lt;="&amp;'Cash flow forecast'!O$5))*(INDEX(Assumptions!$C$135:$C$155,MATCH('Cash flow forecast'!$B161,Assumptions!$A$135:$A$155,0))),IF(OR('Cash flow forecast'!O$5=INDEX(Assumptions!$E$135:$E$155,MATCH('Cash flow forecast'!$B161,Assumptions!$A$135:$A$155,0)),'Cash flow forecast'!O$5=INDEX(Assumptions!$F$135:$F$155,MATCH('Cash flow forecast'!$B161,Assumptions!$A$135:$A$155,0))),SUMIFS(Assumptions!$B$135:$B$155,Assumptions!$A$135:$A$155,'Cash flow forecast'!$B161,Assumptions!$D$135:$D$155,"Annual"),0)),"")</f>
        <v>16</v>
      </c>
      <c r="P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forecast'!P$5))*(INDEX(Assumptions!$C$135:$C$155,MATCH('Cash flow forecast'!$B161,Assumptions!$A$135:$A$155,0))),IF(OR('Cash flow forecast'!P$5=INDEX(Assumptions!$E$135:$E$155,MATCH('Cash flow forecast'!$B161,Assumptions!$A$135:$A$155,0)),'Cash flow forecast'!P$5=INDEX(Assumptions!$F$135:$F$155,MATCH('Cash flow forecast'!$B161,Assumptions!$A$135:$A$155,0))),SUMIFS(Assumptions!$B$135:$B$155,Assumptions!$A$135:$A$155,'Cash flow forecast'!$B161,Assumptions!$D$135:$D$155,"Annual"),0)),"")</f>
        <v>16</v>
      </c>
      <c r="Q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forecast'!Q$5))*(INDEX(Assumptions!$C$135:$C$155,MATCH('Cash flow forecast'!$B161,Assumptions!$A$135:$A$155,0))),IF(OR('Cash flow forecast'!Q$5=INDEX(Assumptions!$E$135:$E$155,MATCH('Cash flow forecast'!$B161,Assumptions!$A$135:$A$155,0)),'Cash flow forecast'!Q$5=INDEX(Assumptions!$F$135:$F$155,MATCH('Cash flow forecast'!$B161,Assumptions!$A$135:$A$155,0))),SUMIFS(Assumptions!$B$135:$B$155,Assumptions!$A$135:$A$155,'Cash flow forecast'!$B161,Assumptions!$D$135:$D$155,"Annual"),0)),"")</f>
        <v>16</v>
      </c>
      <c r="R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forecast'!R$5))*(INDEX(Assumptions!$C$135:$C$155,MATCH('Cash flow forecast'!$B161,Assumptions!$A$135:$A$155,0))),IF(OR('Cash flow forecast'!R$5=INDEX(Assumptions!$E$135:$E$155,MATCH('Cash flow forecast'!$B161,Assumptions!$A$135:$A$155,0)),'Cash flow forecast'!R$5=INDEX(Assumptions!$F$135:$F$155,MATCH('Cash flow forecast'!$B161,Assumptions!$A$135:$A$155,0))),SUMIFS(Assumptions!$B$135:$B$155,Assumptions!$A$135:$A$155,'Cash flow forecast'!$B161,Assumptions!$D$135:$D$155,"Annual"),0)),"")</f>
        <v>16</v>
      </c>
      <c r="S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forecast'!S$5))*(INDEX(Assumptions!$C$135:$C$155,MATCH('Cash flow forecast'!$B161,Assumptions!$A$135:$A$155,0))),IF(OR('Cash flow forecast'!S$5=INDEX(Assumptions!$E$135:$E$155,MATCH('Cash flow forecast'!$B161,Assumptions!$A$135:$A$155,0)),'Cash flow forecast'!S$5=INDEX(Assumptions!$F$135:$F$155,MATCH('Cash flow forecast'!$B161,Assumptions!$A$135:$A$155,0))),SUMIFS(Assumptions!$B$135:$B$155,Assumptions!$A$135:$A$155,'Cash flow forecast'!$B161,Assumptions!$D$135:$D$155,"Annual"),0)),"")</f>
        <v>16</v>
      </c>
      <c r="T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forecast'!T$5))*(INDEX(Assumptions!$C$135:$C$155,MATCH('Cash flow forecast'!$B161,Assumptions!$A$135:$A$155,0))),IF(OR('Cash flow forecast'!T$5=INDEX(Assumptions!$E$135:$E$155,MATCH('Cash flow forecast'!$B161,Assumptions!$A$135:$A$155,0)),'Cash flow forecast'!T$5=INDEX(Assumptions!$F$135:$F$155,MATCH('Cash flow forecast'!$B161,Assumptions!$A$135:$A$155,0))),SUMIFS(Assumptions!$B$135:$B$155,Assumptions!$A$135:$A$155,'Cash flow forecast'!$B161,Assumptions!$D$135:$D$155,"Annual"),0)),"")</f>
        <v>16</v>
      </c>
      <c r="U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forecast'!U$5))*(INDEX(Assumptions!$C$135:$C$155,MATCH('Cash flow forecast'!$B161,Assumptions!$A$135:$A$155,0))),IF(OR('Cash flow forecast'!U$5=INDEX(Assumptions!$E$135:$E$155,MATCH('Cash flow forecast'!$B161,Assumptions!$A$135:$A$155,0)),'Cash flow forecast'!U$5=INDEX(Assumptions!$F$135:$F$155,MATCH('Cash flow forecast'!$B161,Assumptions!$A$135:$A$155,0))),SUMIFS(Assumptions!$B$135:$B$155,Assumptions!$A$135:$A$155,'Cash flow forecast'!$B161,Assumptions!$D$135:$D$155,"Annual"),0)),"")</f>
        <v>16</v>
      </c>
      <c r="V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forecast'!V$5))*(INDEX(Assumptions!$C$135:$C$155,MATCH('Cash flow forecast'!$B161,Assumptions!$A$135:$A$155,0))),IF(OR('Cash flow forecast'!V$5=INDEX(Assumptions!$E$135:$E$155,MATCH('Cash flow forecast'!$B161,Assumptions!$A$135:$A$155,0)),'Cash flow forecast'!V$5=INDEX(Assumptions!$F$135:$F$155,MATCH('Cash flow forecast'!$B161,Assumptions!$A$135:$A$155,0))),SUMIFS(Assumptions!$B$135:$B$155,Assumptions!$A$135:$A$155,'Cash flow forecast'!$B161,Assumptions!$D$135:$D$155,"Annual"),0)),"")</f>
        <v>16</v>
      </c>
      <c r="W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forecast'!W$5))*(INDEX(Assumptions!$C$135:$C$155,MATCH('Cash flow forecast'!$B161,Assumptions!$A$135:$A$155,0))),IF(OR('Cash flow forecast'!W$5=INDEX(Assumptions!$E$135:$E$155,MATCH('Cash flow forecast'!$B161,Assumptions!$A$135:$A$155,0)),'Cash flow forecast'!W$5=INDEX(Assumptions!$F$135:$F$155,MATCH('Cash flow forecast'!$B161,Assumptions!$A$135:$A$155,0))),SUMIFS(Assumptions!$B$135:$B$155,Assumptions!$A$135:$A$155,'Cash flow forecast'!$B161,Assumptions!$D$135:$D$155,"Annual"),0)),"")</f>
        <v>16</v>
      </c>
      <c r="X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forecast'!X$5))*(INDEX(Assumptions!$C$135:$C$155,MATCH('Cash flow forecast'!$B161,Assumptions!$A$135:$A$155,0))),IF(OR('Cash flow forecast'!X$5=INDEX(Assumptions!$E$135:$E$155,MATCH('Cash flow forecast'!$B161,Assumptions!$A$135:$A$155,0)),'Cash flow forecast'!X$5=INDEX(Assumptions!$F$135:$F$155,MATCH('Cash flow forecast'!$B161,Assumptions!$A$135:$A$155,0))),SUMIFS(Assumptions!$B$135:$B$155,Assumptions!$A$135:$A$155,'Cash flow forecast'!$B161,Assumptions!$D$135:$D$155,"Annual"),0)),"")</f>
        <v>16</v>
      </c>
      <c r="Y161" s="222">
        <f>IFERROR(IF(INDEX(Assumptions!$D$135:$D$155,MATCH('Cash flow forecast'!$B161,Assumptions!$A$135:$A$155,0))="Monthly",(SUMIFS(Assumptions!$B$135:$B$155,Assumptions!$A$135:$A$155,'Cash flow forecast'!$B161,Assumptions!$E$135:$E$155,"&lt;="&amp;'Cash flow forecast'!Y$5))*(INDEX(Assumptions!$C$135:$C$155,MATCH('Cash flow forecast'!$B161,Assumptions!$A$135:$A$155,0))),IF(OR('Cash flow forecast'!Y$5=INDEX(Assumptions!$E$135:$E$155,MATCH('Cash flow forecast'!$B161,Assumptions!$A$135:$A$155,0)),'Cash flow forecast'!Y$5=INDEX(Assumptions!$F$135:$F$155,MATCH('Cash flow forecast'!$B161,Assumptions!$A$135:$A$155,0))),SUMIFS(Assumptions!$B$135:$B$155,Assumptions!$A$135:$A$155,'Cash flow forecast'!$B161,Assumptions!$D$135:$D$155,"Annual"),0)),"")</f>
        <v>16</v>
      </c>
      <c r="Z161" s="223">
        <f>IFERROR(IF(INDEX(Assumptions!$D$135:$D$155,MATCH('Cash flow forecast'!$B161,Assumptions!$A$135:$A$155,0))="Monthly",(SUMIFS(Assumptions!$B$135:$B$155,Assumptions!$A$135:$A$155,'Cash flow forecast'!$B161,Assumptions!$E$135:$E$155,"&lt;="&amp;'Cash flow forecast'!Z$5))*(INDEX(Assumptions!$C$135:$C$155,MATCH('Cash flow forecast'!$B161,Assumptions!$A$135:$A$155,0))),IF(OR('Cash flow forecast'!Z$5=INDEX(Assumptions!$E$135:$E$155,MATCH('Cash flow forecast'!$B161,Assumptions!$A$135:$A$155,0)),'Cash flow forecast'!Z$5=INDEX(Assumptions!$F$135:$F$155,MATCH('Cash flow forecast'!$B161,Assumptions!$A$135:$A$155,0))),SUMIFS(Assumptions!$B$135:$B$155,Assumptions!$A$135:$A$155,'Cash flow forecast'!$B161,Assumptions!$D$135:$D$155,"Annual"),0)),"")</f>
        <v>16</v>
      </c>
      <c r="AA161" s="221">
        <f t="shared" si="172"/>
        <v>48</v>
      </c>
      <c r="AB161" s="224">
        <f t="shared" si="172"/>
        <v>48</v>
      </c>
      <c r="AC161" s="224">
        <f t="shared" si="172"/>
        <v>48</v>
      </c>
      <c r="AD161" s="224">
        <f t="shared" si="172"/>
        <v>48</v>
      </c>
      <c r="AE161" s="225">
        <f t="shared" si="173"/>
        <v>192</v>
      </c>
      <c r="AF161" s="221">
        <f t="shared" si="176"/>
        <v>48</v>
      </c>
      <c r="AG161" s="224">
        <f t="shared" si="174"/>
        <v>48</v>
      </c>
      <c r="AH161" s="224">
        <f t="shared" si="174"/>
        <v>48</v>
      </c>
      <c r="AI161" s="223">
        <f t="shared" si="174"/>
        <v>48</v>
      </c>
      <c r="AJ161" s="225">
        <f t="shared" si="177"/>
        <v>192</v>
      </c>
      <c r="AK161" s="243">
        <f t="shared" si="175"/>
        <v>3.7560636463419849E-4</v>
      </c>
    </row>
    <row r="162" spans="2:37" ht="22.15" hidden="1" customHeight="1" outlineLevel="1" x14ac:dyDescent="0.25">
      <c r="B162" s="91" t="str">
        <f>IF(Assumptions!$A139="","",Assumptions!$A139)</f>
        <v>Test 5</v>
      </c>
      <c r="C162" s="221">
        <f>IFERROR(IF(INDEX(Assumptions!$D$135:$D$155,MATCH('Cash flow forecast'!$B162,Assumptions!$A$135:$A$155,0))="Monthly",(SUMIFS(Assumptions!$B$135:$B$155,Assumptions!$A$135:$A$155,'Cash flow forecast'!$B162,Assumptions!$E$135:$E$155,"&lt;="&amp;'Cash flow forecast'!C$5))*(INDEX(Assumptions!$C$135:$C$155,MATCH('Cash flow forecast'!$B162,Assumptions!$A$135:$A$155,0))),IF(OR('Cash flow forecast'!C$5=INDEX(Assumptions!$E$135:$E$155,MATCH('Cash flow forecast'!$B162,Assumptions!$A$135:$A$155,0)),'Cash flow forecast'!C$5=INDEX(Assumptions!$F$135:$F$155,MATCH('Cash flow forecast'!$B162,Assumptions!$A$135:$A$155,0))),SUMIFS(Assumptions!$B$135:$B$155,Assumptions!$A$135:$A$155,'Cash flow forecast'!$B162,Assumptions!$D$135:$D$155,"Annual"),0)),"")</f>
        <v>20</v>
      </c>
      <c r="D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forecast'!D$5))*(INDEX(Assumptions!$C$135:$C$155,MATCH('Cash flow forecast'!$B162,Assumptions!$A$135:$A$155,0))),IF(OR('Cash flow forecast'!D$5=INDEX(Assumptions!$E$135:$E$155,MATCH('Cash flow forecast'!$B162,Assumptions!$A$135:$A$155,0)),'Cash flow forecast'!D$5=INDEX(Assumptions!$F$135:$F$155,MATCH('Cash flow forecast'!$B162,Assumptions!$A$135:$A$155,0))),SUMIFS(Assumptions!$B$135:$B$155,Assumptions!$A$135:$A$155,'Cash flow forecast'!$B162,Assumptions!$D$135:$D$155,"Annual"),0)),"")</f>
        <v>20</v>
      </c>
      <c r="E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forecast'!E$5))*(INDEX(Assumptions!$C$135:$C$155,MATCH('Cash flow forecast'!$B162,Assumptions!$A$135:$A$155,0))),IF(OR('Cash flow forecast'!E$5=INDEX(Assumptions!$E$135:$E$155,MATCH('Cash flow forecast'!$B162,Assumptions!$A$135:$A$155,0)),'Cash flow forecast'!E$5=INDEX(Assumptions!$F$135:$F$155,MATCH('Cash flow forecast'!$B162,Assumptions!$A$135:$A$155,0))),SUMIFS(Assumptions!$B$135:$B$155,Assumptions!$A$135:$A$155,'Cash flow forecast'!$B162,Assumptions!$D$135:$D$155,"Annual"),0)),"")</f>
        <v>20</v>
      </c>
      <c r="F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forecast'!F$5))*(INDEX(Assumptions!$C$135:$C$155,MATCH('Cash flow forecast'!$B162,Assumptions!$A$135:$A$155,0))),IF(OR('Cash flow forecast'!F$5=INDEX(Assumptions!$E$135:$E$155,MATCH('Cash flow forecast'!$B162,Assumptions!$A$135:$A$155,0)),'Cash flow forecast'!F$5=INDEX(Assumptions!$F$135:$F$155,MATCH('Cash flow forecast'!$B162,Assumptions!$A$135:$A$155,0))),SUMIFS(Assumptions!$B$135:$B$155,Assumptions!$A$135:$A$155,'Cash flow forecast'!$B162,Assumptions!$D$135:$D$155,"Annual"),0)),"")</f>
        <v>20</v>
      </c>
      <c r="G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forecast'!G$5))*(INDEX(Assumptions!$C$135:$C$155,MATCH('Cash flow forecast'!$B162,Assumptions!$A$135:$A$155,0))),IF(OR('Cash flow forecast'!G$5=INDEX(Assumptions!$E$135:$E$155,MATCH('Cash flow forecast'!$B162,Assumptions!$A$135:$A$155,0)),'Cash flow forecast'!G$5=INDEX(Assumptions!$F$135:$F$155,MATCH('Cash flow forecast'!$B162,Assumptions!$A$135:$A$155,0))),SUMIFS(Assumptions!$B$135:$B$155,Assumptions!$A$135:$A$155,'Cash flow forecast'!$B162,Assumptions!$D$135:$D$155,"Annual"),0)),"")</f>
        <v>20</v>
      </c>
      <c r="H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forecast'!H$5))*(INDEX(Assumptions!$C$135:$C$155,MATCH('Cash flow forecast'!$B162,Assumptions!$A$135:$A$155,0))),IF(OR('Cash flow forecast'!H$5=INDEX(Assumptions!$E$135:$E$155,MATCH('Cash flow forecast'!$B162,Assumptions!$A$135:$A$155,0)),'Cash flow forecast'!H$5=INDEX(Assumptions!$F$135:$F$155,MATCH('Cash flow forecast'!$B162,Assumptions!$A$135:$A$155,0))),SUMIFS(Assumptions!$B$135:$B$155,Assumptions!$A$135:$A$155,'Cash flow forecast'!$B162,Assumptions!$D$135:$D$155,"Annual"),0)),"")</f>
        <v>20</v>
      </c>
      <c r="I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forecast'!I$5))*(INDEX(Assumptions!$C$135:$C$155,MATCH('Cash flow forecast'!$B162,Assumptions!$A$135:$A$155,0))),IF(OR('Cash flow forecast'!I$5=INDEX(Assumptions!$E$135:$E$155,MATCH('Cash flow forecast'!$B162,Assumptions!$A$135:$A$155,0)),'Cash flow forecast'!I$5=INDEX(Assumptions!$F$135:$F$155,MATCH('Cash flow forecast'!$B162,Assumptions!$A$135:$A$155,0))),SUMIFS(Assumptions!$B$135:$B$155,Assumptions!$A$135:$A$155,'Cash flow forecast'!$B162,Assumptions!$D$135:$D$155,"Annual"),0)),"")</f>
        <v>20</v>
      </c>
      <c r="J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forecast'!J$5))*(INDEX(Assumptions!$C$135:$C$155,MATCH('Cash flow forecast'!$B162,Assumptions!$A$135:$A$155,0))),IF(OR('Cash flow forecast'!J$5=INDEX(Assumptions!$E$135:$E$155,MATCH('Cash flow forecast'!$B162,Assumptions!$A$135:$A$155,0)),'Cash flow forecast'!J$5=INDEX(Assumptions!$F$135:$F$155,MATCH('Cash flow forecast'!$B162,Assumptions!$A$135:$A$155,0))),SUMIFS(Assumptions!$B$135:$B$155,Assumptions!$A$135:$A$155,'Cash flow forecast'!$B162,Assumptions!$D$135:$D$155,"Annual"),0)),"")</f>
        <v>20</v>
      </c>
      <c r="K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forecast'!K$5))*(INDEX(Assumptions!$C$135:$C$155,MATCH('Cash flow forecast'!$B162,Assumptions!$A$135:$A$155,0))),IF(OR('Cash flow forecast'!K$5=INDEX(Assumptions!$E$135:$E$155,MATCH('Cash flow forecast'!$B162,Assumptions!$A$135:$A$155,0)),'Cash flow forecast'!K$5=INDEX(Assumptions!$F$135:$F$155,MATCH('Cash flow forecast'!$B162,Assumptions!$A$135:$A$155,0))),SUMIFS(Assumptions!$B$135:$B$155,Assumptions!$A$135:$A$155,'Cash flow forecast'!$B162,Assumptions!$D$135:$D$155,"Annual"),0)),"")</f>
        <v>20</v>
      </c>
      <c r="L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forecast'!L$5))*(INDEX(Assumptions!$C$135:$C$155,MATCH('Cash flow forecast'!$B162,Assumptions!$A$135:$A$155,0))),IF(OR('Cash flow forecast'!L$5=INDEX(Assumptions!$E$135:$E$155,MATCH('Cash flow forecast'!$B162,Assumptions!$A$135:$A$155,0)),'Cash flow forecast'!L$5=INDEX(Assumptions!$F$135:$F$155,MATCH('Cash flow forecast'!$B162,Assumptions!$A$135:$A$155,0))),SUMIFS(Assumptions!$B$135:$B$155,Assumptions!$A$135:$A$155,'Cash flow forecast'!$B162,Assumptions!$D$135:$D$155,"Annual"),0)),"")</f>
        <v>20</v>
      </c>
      <c r="M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forecast'!M$5))*(INDEX(Assumptions!$C$135:$C$155,MATCH('Cash flow forecast'!$B162,Assumptions!$A$135:$A$155,0))),IF(OR('Cash flow forecast'!M$5=INDEX(Assumptions!$E$135:$E$155,MATCH('Cash flow forecast'!$B162,Assumptions!$A$135:$A$155,0)),'Cash flow forecast'!M$5=INDEX(Assumptions!$F$135:$F$155,MATCH('Cash flow forecast'!$B162,Assumptions!$A$135:$A$155,0))),SUMIFS(Assumptions!$B$135:$B$155,Assumptions!$A$135:$A$155,'Cash flow forecast'!$B162,Assumptions!$D$135:$D$155,"Annual"),0)),"")</f>
        <v>20</v>
      </c>
      <c r="N162" s="223">
        <f>IFERROR(IF(INDEX(Assumptions!$D$135:$D$155,MATCH('Cash flow forecast'!$B162,Assumptions!$A$135:$A$155,0))="Monthly",(SUMIFS(Assumptions!$B$135:$B$155,Assumptions!$A$135:$A$155,'Cash flow forecast'!$B162,Assumptions!$E$135:$E$155,"&lt;="&amp;'Cash flow forecast'!N$5))*(INDEX(Assumptions!$C$135:$C$155,MATCH('Cash flow forecast'!$B162,Assumptions!$A$135:$A$155,0))),IF(OR('Cash flow forecast'!N$5=INDEX(Assumptions!$E$135:$E$155,MATCH('Cash flow forecast'!$B162,Assumptions!$A$135:$A$155,0)),'Cash flow forecast'!N$5=INDEX(Assumptions!$F$135:$F$155,MATCH('Cash flow forecast'!$B162,Assumptions!$A$135:$A$155,0))),SUMIFS(Assumptions!$B$135:$B$155,Assumptions!$A$135:$A$155,'Cash flow forecast'!$B162,Assumptions!$D$135:$D$155,"Annual"),0)),"")</f>
        <v>20</v>
      </c>
      <c r="O162" s="221">
        <f>IFERROR(IF(INDEX(Assumptions!$D$135:$D$155,MATCH('Cash flow forecast'!$B162,Assumptions!$A$135:$A$155,0))="Monthly",(SUMIFS(Assumptions!$B$135:$B$155,Assumptions!$A$135:$A$155,'Cash flow forecast'!$B162,Assumptions!$E$135:$E$155,"&lt;="&amp;'Cash flow forecast'!O$5))*(INDEX(Assumptions!$C$135:$C$155,MATCH('Cash flow forecast'!$B162,Assumptions!$A$135:$A$155,0))),IF(OR('Cash flow forecast'!O$5=INDEX(Assumptions!$E$135:$E$155,MATCH('Cash flow forecast'!$B162,Assumptions!$A$135:$A$155,0)),'Cash flow forecast'!O$5=INDEX(Assumptions!$F$135:$F$155,MATCH('Cash flow forecast'!$B162,Assumptions!$A$135:$A$155,0))),SUMIFS(Assumptions!$B$135:$B$155,Assumptions!$A$135:$A$155,'Cash flow forecast'!$B162,Assumptions!$D$135:$D$155,"Annual"),0)),"")</f>
        <v>20</v>
      </c>
      <c r="P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forecast'!P$5))*(INDEX(Assumptions!$C$135:$C$155,MATCH('Cash flow forecast'!$B162,Assumptions!$A$135:$A$155,0))),IF(OR('Cash flow forecast'!P$5=INDEX(Assumptions!$E$135:$E$155,MATCH('Cash flow forecast'!$B162,Assumptions!$A$135:$A$155,0)),'Cash flow forecast'!P$5=INDEX(Assumptions!$F$135:$F$155,MATCH('Cash flow forecast'!$B162,Assumptions!$A$135:$A$155,0))),SUMIFS(Assumptions!$B$135:$B$155,Assumptions!$A$135:$A$155,'Cash flow forecast'!$B162,Assumptions!$D$135:$D$155,"Annual"),0)),"")</f>
        <v>20</v>
      </c>
      <c r="Q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forecast'!Q$5))*(INDEX(Assumptions!$C$135:$C$155,MATCH('Cash flow forecast'!$B162,Assumptions!$A$135:$A$155,0))),IF(OR('Cash flow forecast'!Q$5=INDEX(Assumptions!$E$135:$E$155,MATCH('Cash flow forecast'!$B162,Assumptions!$A$135:$A$155,0)),'Cash flow forecast'!Q$5=INDEX(Assumptions!$F$135:$F$155,MATCH('Cash flow forecast'!$B162,Assumptions!$A$135:$A$155,0))),SUMIFS(Assumptions!$B$135:$B$155,Assumptions!$A$135:$A$155,'Cash flow forecast'!$B162,Assumptions!$D$135:$D$155,"Annual"),0)),"")</f>
        <v>20</v>
      </c>
      <c r="R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forecast'!R$5))*(INDEX(Assumptions!$C$135:$C$155,MATCH('Cash flow forecast'!$B162,Assumptions!$A$135:$A$155,0))),IF(OR('Cash flow forecast'!R$5=INDEX(Assumptions!$E$135:$E$155,MATCH('Cash flow forecast'!$B162,Assumptions!$A$135:$A$155,0)),'Cash flow forecast'!R$5=INDEX(Assumptions!$F$135:$F$155,MATCH('Cash flow forecast'!$B162,Assumptions!$A$135:$A$155,0))),SUMIFS(Assumptions!$B$135:$B$155,Assumptions!$A$135:$A$155,'Cash flow forecast'!$B162,Assumptions!$D$135:$D$155,"Annual"),0)),"")</f>
        <v>20</v>
      </c>
      <c r="S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forecast'!S$5))*(INDEX(Assumptions!$C$135:$C$155,MATCH('Cash flow forecast'!$B162,Assumptions!$A$135:$A$155,0))),IF(OR('Cash flow forecast'!S$5=INDEX(Assumptions!$E$135:$E$155,MATCH('Cash flow forecast'!$B162,Assumptions!$A$135:$A$155,0)),'Cash flow forecast'!S$5=INDEX(Assumptions!$F$135:$F$155,MATCH('Cash flow forecast'!$B162,Assumptions!$A$135:$A$155,0))),SUMIFS(Assumptions!$B$135:$B$155,Assumptions!$A$135:$A$155,'Cash flow forecast'!$B162,Assumptions!$D$135:$D$155,"Annual"),0)),"")</f>
        <v>20</v>
      </c>
      <c r="T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forecast'!T$5))*(INDEX(Assumptions!$C$135:$C$155,MATCH('Cash flow forecast'!$B162,Assumptions!$A$135:$A$155,0))),IF(OR('Cash flow forecast'!T$5=INDEX(Assumptions!$E$135:$E$155,MATCH('Cash flow forecast'!$B162,Assumptions!$A$135:$A$155,0)),'Cash flow forecast'!T$5=INDEX(Assumptions!$F$135:$F$155,MATCH('Cash flow forecast'!$B162,Assumptions!$A$135:$A$155,0))),SUMIFS(Assumptions!$B$135:$B$155,Assumptions!$A$135:$A$155,'Cash flow forecast'!$B162,Assumptions!$D$135:$D$155,"Annual"),0)),"")</f>
        <v>20</v>
      </c>
      <c r="U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forecast'!U$5))*(INDEX(Assumptions!$C$135:$C$155,MATCH('Cash flow forecast'!$B162,Assumptions!$A$135:$A$155,0))),IF(OR('Cash flow forecast'!U$5=INDEX(Assumptions!$E$135:$E$155,MATCH('Cash flow forecast'!$B162,Assumptions!$A$135:$A$155,0)),'Cash flow forecast'!U$5=INDEX(Assumptions!$F$135:$F$155,MATCH('Cash flow forecast'!$B162,Assumptions!$A$135:$A$155,0))),SUMIFS(Assumptions!$B$135:$B$155,Assumptions!$A$135:$A$155,'Cash flow forecast'!$B162,Assumptions!$D$135:$D$155,"Annual"),0)),"")</f>
        <v>20</v>
      </c>
      <c r="V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forecast'!V$5))*(INDEX(Assumptions!$C$135:$C$155,MATCH('Cash flow forecast'!$B162,Assumptions!$A$135:$A$155,0))),IF(OR('Cash flow forecast'!V$5=INDEX(Assumptions!$E$135:$E$155,MATCH('Cash flow forecast'!$B162,Assumptions!$A$135:$A$155,0)),'Cash flow forecast'!V$5=INDEX(Assumptions!$F$135:$F$155,MATCH('Cash flow forecast'!$B162,Assumptions!$A$135:$A$155,0))),SUMIFS(Assumptions!$B$135:$B$155,Assumptions!$A$135:$A$155,'Cash flow forecast'!$B162,Assumptions!$D$135:$D$155,"Annual"),0)),"")</f>
        <v>20</v>
      </c>
      <c r="W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forecast'!W$5))*(INDEX(Assumptions!$C$135:$C$155,MATCH('Cash flow forecast'!$B162,Assumptions!$A$135:$A$155,0))),IF(OR('Cash flow forecast'!W$5=INDEX(Assumptions!$E$135:$E$155,MATCH('Cash flow forecast'!$B162,Assumptions!$A$135:$A$155,0)),'Cash flow forecast'!W$5=INDEX(Assumptions!$F$135:$F$155,MATCH('Cash flow forecast'!$B162,Assumptions!$A$135:$A$155,0))),SUMIFS(Assumptions!$B$135:$B$155,Assumptions!$A$135:$A$155,'Cash flow forecast'!$B162,Assumptions!$D$135:$D$155,"Annual"),0)),"")</f>
        <v>20</v>
      </c>
      <c r="X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forecast'!X$5))*(INDEX(Assumptions!$C$135:$C$155,MATCH('Cash flow forecast'!$B162,Assumptions!$A$135:$A$155,0))),IF(OR('Cash flow forecast'!X$5=INDEX(Assumptions!$E$135:$E$155,MATCH('Cash flow forecast'!$B162,Assumptions!$A$135:$A$155,0)),'Cash flow forecast'!X$5=INDEX(Assumptions!$F$135:$F$155,MATCH('Cash flow forecast'!$B162,Assumptions!$A$135:$A$155,0))),SUMIFS(Assumptions!$B$135:$B$155,Assumptions!$A$135:$A$155,'Cash flow forecast'!$B162,Assumptions!$D$135:$D$155,"Annual"),0)),"")</f>
        <v>20</v>
      </c>
      <c r="Y162" s="222">
        <f>IFERROR(IF(INDEX(Assumptions!$D$135:$D$155,MATCH('Cash flow forecast'!$B162,Assumptions!$A$135:$A$155,0))="Monthly",(SUMIFS(Assumptions!$B$135:$B$155,Assumptions!$A$135:$A$155,'Cash flow forecast'!$B162,Assumptions!$E$135:$E$155,"&lt;="&amp;'Cash flow forecast'!Y$5))*(INDEX(Assumptions!$C$135:$C$155,MATCH('Cash flow forecast'!$B162,Assumptions!$A$135:$A$155,0))),IF(OR('Cash flow forecast'!Y$5=INDEX(Assumptions!$E$135:$E$155,MATCH('Cash flow forecast'!$B162,Assumptions!$A$135:$A$155,0)),'Cash flow forecast'!Y$5=INDEX(Assumptions!$F$135:$F$155,MATCH('Cash flow forecast'!$B162,Assumptions!$A$135:$A$155,0))),SUMIFS(Assumptions!$B$135:$B$155,Assumptions!$A$135:$A$155,'Cash flow forecast'!$B162,Assumptions!$D$135:$D$155,"Annual"),0)),"")</f>
        <v>20</v>
      </c>
      <c r="Z162" s="223">
        <f>IFERROR(IF(INDEX(Assumptions!$D$135:$D$155,MATCH('Cash flow forecast'!$B162,Assumptions!$A$135:$A$155,0))="Monthly",(SUMIFS(Assumptions!$B$135:$B$155,Assumptions!$A$135:$A$155,'Cash flow forecast'!$B162,Assumptions!$E$135:$E$155,"&lt;="&amp;'Cash flow forecast'!Z$5))*(INDEX(Assumptions!$C$135:$C$155,MATCH('Cash flow forecast'!$B162,Assumptions!$A$135:$A$155,0))),IF(OR('Cash flow forecast'!Z$5=INDEX(Assumptions!$E$135:$E$155,MATCH('Cash flow forecast'!$B162,Assumptions!$A$135:$A$155,0)),'Cash flow forecast'!Z$5=INDEX(Assumptions!$F$135:$F$155,MATCH('Cash flow forecast'!$B162,Assumptions!$A$135:$A$155,0))),SUMIFS(Assumptions!$B$135:$B$155,Assumptions!$A$135:$A$155,'Cash flow forecast'!$B162,Assumptions!$D$135:$D$155,"Annual"),0)),"")</f>
        <v>20</v>
      </c>
      <c r="AA162" s="221">
        <f t="shared" si="172"/>
        <v>60</v>
      </c>
      <c r="AB162" s="224">
        <f t="shared" si="172"/>
        <v>60</v>
      </c>
      <c r="AC162" s="224">
        <f t="shared" si="172"/>
        <v>60</v>
      </c>
      <c r="AD162" s="224">
        <f t="shared" si="172"/>
        <v>60</v>
      </c>
      <c r="AE162" s="225">
        <f t="shared" si="173"/>
        <v>240</v>
      </c>
      <c r="AF162" s="221">
        <f t="shared" si="176"/>
        <v>60</v>
      </c>
      <c r="AG162" s="224">
        <f t="shared" si="174"/>
        <v>60</v>
      </c>
      <c r="AH162" s="224">
        <f t="shared" si="174"/>
        <v>60</v>
      </c>
      <c r="AI162" s="223">
        <f t="shared" si="174"/>
        <v>60</v>
      </c>
      <c r="AJ162" s="225">
        <f t="shared" si="177"/>
        <v>240</v>
      </c>
      <c r="AK162" s="243">
        <f t="shared" si="175"/>
        <v>4.6950795579274809E-4</v>
      </c>
    </row>
    <row r="163" spans="2:37" ht="22.15" hidden="1" customHeight="1" outlineLevel="1" x14ac:dyDescent="0.25">
      <c r="B163" s="91" t="str">
        <f>IF(Assumptions!$A140="","",Assumptions!$A140)</f>
        <v>Test 6</v>
      </c>
      <c r="C163" s="221">
        <f>IFERROR(IF(INDEX(Assumptions!$D$135:$D$155,MATCH('Cash flow forecast'!$B163,Assumptions!$A$135:$A$155,0))="Monthly",(SUMIFS(Assumptions!$B$135:$B$155,Assumptions!$A$135:$A$155,'Cash flow forecast'!$B163,Assumptions!$E$135:$E$155,"&lt;="&amp;'Cash flow forecast'!C$5))*(INDEX(Assumptions!$C$135:$C$155,MATCH('Cash flow forecast'!$B163,Assumptions!$A$135:$A$155,0))),IF(OR('Cash flow forecast'!C$5=INDEX(Assumptions!$E$135:$E$155,MATCH('Cash flow forecast'!$B163,Assumptions!$A$135:$A$155,0)),'Cash flow forecast'!C$5=INDEX(Assumptions!$F$135:$F$155,MATCH('Cash flow forecast'!$B163,Assumptions!$A$135:$A$155,0))),SUMIFS(Assumptions!$B$135:$B$155,Assumptions!$A$135:$A$155,'Cash flow forecast'!$B163,Assumptions!$D$135:$D$155,"Annual"),0)),"")</f>
        <v>50</v>
      </c>
      <c r="D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forecast'!D$5))*(INDEX(Assumptions!$C$135:$C$155,MATCH('Cash flow forecast'!$B163,Assumptions!$A$135:$A$155,0))),IF(OR('Cash flow forecast'!D$5=INDEX(Assumptions!$E$135:$E$155,MATCH('Cash flow forecast'!$B163,Assumptions!$A$135:$A$155,0)),'Cash flow forecast'!D$5=INDEX(Assumptions!$F$135:$F$155,MATCH('Cash flow forecast'!$B163,Assumptions!$A$135:$A$155,0))),SUMIFS(Assumptions!$B$135:$B$155,Assumptions!$A$135:$A$155,'Cash flow forecast'!$B163,Assumptions!$D$135:$D$155,"Annual"),0)),"")</f>
        <v>0</v>
      </c>
      <c r="E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forecast'!E$5))*(INDEX(Assumptions!$C$135:$C$155,MATCH('Cash flow forecast'!$B163,Assumptions!$A$135:$A$155,0))),IF(OR('Cash flow forecast'!E$5=INDEX(Assumptions!$E$135:$E$155,MATCH('Cash flow forecast'!$B163,Assumptions!$A$135:$A$155,0)),'Cash flow forecast'!E$5=INDEX(Assumptions!$F$135:$F$155,MATCH('Cash flow forecast'!$B163,Assumptions!$A$135:$A$155,0))),SUMIFS(Assumptions!$B$135:$B$155,Assumptions!$A$135:$A$155,'Cash flow forecast'!$B163,Assumptions!$D$135:$D$155,"Annual"),0)),"")</f>
        <v>0</v>
      </c>
      <c r="F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forecast'!F$5))*(INDEX(Assumptions!$C$135:$C$155,MATCH('Cash flow forecast'!$B163,Assumptions!$A$135:$A$155,0))),IF(OR('Cash flow forecast'!F$5=INDEX(Assumptions!$E$135:$E$155,MATCH('Cash flow forecast'!$B163,Assumptions!$A$135:$A$155,0)),'Cash flow forecast'!F$5=INDEX(Assumptions!$F$135:$F$155,MATCH('Cash flow forecast'!$B163,Assumptions!$A$135:$A$155,0))),SUMIFS(Assumptions!$B$135:$B$155,Assumptions!$A$135:$A$155,'Cash flow forecast'!$B163,Assumptions!$D$135:$D$155,"Annual"),0)),"")</f>
        <v>0</v>
      </c>
      <c r="G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forecast'!G$5))*(INDEX(Assumptions!$C$135:$C$155,MATCH('Cash flow forecast'!$B163,Assumptions!$A$135:$A$155,0))),IF(OR('Cash flow forecast'!G$5=INDEX(Assumptions!$E$135:$E$155,MATCH('Cash flow forecast'!$B163,Assumptions!$A$135:$A$155,0)),'Cash flow forecast'!G$5=INDEX(Assumptions!$F$135:$F$155,MATCH('Cash flow forecast'!$B163,Assumptions!$A$135:$A$155,0))),SUMIFS(Assumptions!$B$135:$B$155,Assumptions!$A$135:$A$155,'Cash flow forecast'!$B163,Assumptions!$D$135:$D$155,"Annual"),0)),"")</f>
        <v>0</v>
      </c>
      <c r="H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forecast'!H$5))*(INDEX(Assumptions!$C$135:$C$155,MATCH('Cash flow forecast'!$B163,Assumptions!$A$135:$A$155,0))),IF(OR('Cash flow forecast'!H$5=INDEX(Assumptions!$E$135:$E$155,MATCH('Cash flow forecast'!$B163,Assumptions!$A$135:$A$155,0)),'Cash flow forecast'!H$5=INDEX(Assumptions!$F$135:$F$155,MATCH('Cash flow forecast'!$B163,Assumptions!$A$135:$A$155,0))),SUMIFS(Assumptions!$B$135:$B$155,Assumptions!$A$135:$A$155,'Cash flow forecast'!$B163,Assumptions!$D$135:$D$155,"Annual"),0)),"")</f>
        <v>0</v>
      </c>
      <c r="I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forecast'!I$5))*(INDEX(Assumptions!$C$135:$C$155,MATCH('Cash flow forecast'!$B163,Assumptions!$A$135:$A$155,0))),IF(OR('Cash flow forecast'!I$5=INDEX(Assumptions!$E$135:$E$155,MATCH('Cash flow forecast'!$B163,Assumptions!$A$135:$A$155,0)),'Cash flow forecast'!I$5=INDEX(Assumptions!$F$135:$F$155,MATCH('Cash flow forecast'!$B163,Assumptions!$A$135:$A$155,0))),SUMIFS(Assumptions!$B$135:$B$155,Assumptions!$A$135:$A$155,'Cash flow forecast'!$B163,Assumptions!$D$135:$D$155,"Annual"),0)),"")</f>
        <v>0</v>
      </c>
      <c r="J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forecast'!J$5))*(INDEX(Assumptions!$C$135:$C$155,MATCH('Cash flow forecast'!$B163,Assumptions!$A$135:$A$155,0))),IF(OR('Cash flow forecast'!J$5=INDEX(Assumptions!$E$135:$E$155,MATCH('Cash flow forecast'!$B163,Assumptions!$A$135:$A$155,0)),'Cash flow forecast'!J$5=INDEX(Assumptions!$F$135:$F$155,MATCH('Cash flow forecast'!$B163,Assumptions!$A$135:$A$155,0))),SUMIFS(Assumptions!$B$135:$B$155,Assumptions!$A$135:$A$155,'Cash flow forecast'!$B163,Assumptions!$D$135:$D$155,"Annual"),0)),"")</f>
        <v>0</v>
      </c>
      <c r="K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forecast'!K$5))*(INDEX(Assumptions!$C$135:$C$155,MATCH('Cash flow forecast'!$B163,Assumptions!$A$135:$A$155,0))),IF(OR('Cash flow forecast'!K$5=INDEX(Assumptions!$E$135:$E$155,MATCH('Cash flow forecast'!$B163,Assumptions!$A$135:$A$155,0)),'Cash flow forecast'!K$5=INDEX(Assumptions!$F$135:$F$155,MATCH('Cash flow forecast'!$B163,Assumptions!$A$135:$A$155,0))),SUMIFS(Assumptions!$B$135:$B$155,Assumptions!$A$135:$A$155,'Cash flow forecast'!$B163,Assumptions!$D$135:$D$155,"Annual"),0)),"")</f>
        <v>0</v>
      </c>
      <c r="L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forecast'!L$5))*(INDEX(Assumptions!$C$135:$C$155,MATCH('Cash flow forecast'!$B163,Assumptions!$A$135:$A$155,0))),IF(OR('Cash flow forecast'!L$5=INDEX(Assumptions!$E$135:$E$155,MATCH('Cash flow forecast'!$B163,Assumptions!$A$135:$A$155,0)),'Cash flow forecast'!L$5=INDEX(Assumptions!$F$135:$F$155,MATCH('Cash flow forecast'!$B163,Assumptions!$A$135:$A$155,0))),SUMIFS(Assumptions!$B$135:$B$155,Assumptions!$A$135:$A$155,'Cash flow forecast'!$B163,Assumptions!$D$135:$D$155,"Annual"),0)),"")</f>
        <v>0</v>
      </c>
      <c r="M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forecast'!M$5))*(INDEX(Assumptions!$C$135:$C$155,MATCH('Cash flow forecast'!$B163,Assumptions!$A$135:$A$155,0))),IF(OR('Cash flow forecast'!M$5=INDEX(Assumptions!$E$135:$E$155,MATCH('Cash flow forecast'!$B163,Assumptions!$A$135:$A$155,0)),'Cash flow forecast'!M$5=INDEX(Assumptions!$F$135:$F$155,MATCH('Cash flow forecast'!$B163,Assumptions!$A$135:$A$155,0))),SUMIFS(Assumptions!$B$135:$B$155,Assumptions!$A$135:$A$155,'Cash flow forecast'!$B163,Assumptions!$D$135:$D$155,"Annual"),0)),"")</f>
        <v>0</v>
      </c>
      <c r="N163" s="223">
        <f>IFERROR(IF(INDEX(Assumptions!$D$135:$D$155,MATCH('Cash flow forecast'!$B163,Assumptions!$A$135:$A$155,0))="Monthly",(SUMIFS(Assumptions!$B$135:$B$155,Assumptions!$A$135:$A$155,'Cash flow forecast'!$B163,Assumptions!$E$135:$E$155,"&lt;="&amp;'Cash flow forecast'!N$5))*(INDEX(Assumptions!$C$135:$C$155,MATCH('Cash flow forecast'!$B163,Assumptions!$A$135:$A$155,0))),IF(OR('Cash flow forecast'!N$5=INDEX(Assumptions!$E$135:$E$155,MATCH('Cash flow forecast'!$B163,Assumptions!$A$135:$A$155,0)),'Cash flow forecast'!N$5=INDEX(Assumptions!$F$135:$F$155,MATCH('Cash flow forecast'!$B163,Assumptions!$A$135:$A$155,0))),SUMIFS(Assumptions!$B$135:$B$155,Assumptions!$A$135:$A$155,'Cash flow forecast'!$B163,Assumptions!$D$135:$D$155,"Annual"),0)),"")</f>
        <v>0</v>
      </c>
      <c r="O163" s="221">
        <f>IFERROR(IF(INDEX(Assumptions!$D$135:$D$155,MATCH('Cash flow forecast'!$B163,Assumptions!$A$135:$A$155,0))="Monthly",(SUMIFS(Assumptions!$B$135:$B$155,Assumptions!$A$135:$A$155,'Cash flow forecast'!$B163,Assumptions!$E$135:$E$155,"&lt;="&amp;'Cash flow forecast'!O$5))*(INDEX(Assumptions!$C$135:$C$155,MATCH('Cash flow forecast'!$B163,Assumptions!$A$135:$A$155,0))),IF(OR('Cash flow forecast'!O$5=INDEX(Assumptions!$E$135:$E$155,MATCH('Cash flow forecast'!$B163,Assumptions!$A$135:$A$155,0)),'Cash flow forecast'!O$5=INDEX(Assumptions!$F$135:$F$155,MATCH('Cash flow forecast'!$B163,Assumptions!$A$135:$A$155,0))),SUMIFS(Assumptions!$B$135:$B$155,Assumptions!$A$135:$A$155,'Cash flow forecast'!$B163,Assumptions!$D$135:$D$155,"Annual"),0)),"")</f>
        <v>50</v>
      </c>
      <c r="P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forecast'!P$5))*(INDEX(Assumptions!$C$135:$C$155,MATCH('Cash flow forecast'!$B163,Assumptions!$A$135:$A$155,0))),IF(OR('Cash flow forecast'!P$5=INDEX(Assumptions!$E$135:$E$155,MATCH('Cash flow forecast'!$B163,Assumptions!$A$135:$A$155,0)),'Cash flow forecast'!P$5=INDEX(Assumptions!$F$135:$F$155,MATCH('Cash flow forecast'!$B163,Assumptions!$A$135:$A$155,0))),SUMIFS(Assumptions!$B$135:$B$155,Assumptions!$A$135:$A$155,'Cash flow forecast'!$B163,Assumptions!$D$135:$D$155,"Annual"),0)),"")</f>
        <v>0</v>
      </c>
      <c r="Q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forecast'!Q$5))*(INDEX(Assumptions!$C$135:$C$155,MATCH('Cash flow forecast'!$B163,Assumptions!$A$135:$A$155,0))),IF(OR('Cash flow forecast'!Q$5=INDEX(Assumptions!$E$135:$E$155,MATCH('Cash flow forecast'!$B163,Assumptions!$A$135:$A$155,0)),'Cash flow forecast'!Q$5=INDEX(Assumptions!$F$135:$F$155,MATCH('Cash flow forecast'!$B163,Assumptions!$A$135:$A$155,0))),SUMIFS(Assumptions!$B$135:$B$155,Assumptions!$A$135:$A$155,'Cash flow forecast'!$B163,Assumptions!$D$135:$D$155,"Annual"),0)),"")</f>
        <v>0</v>
      </c>
      <c r="R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forecast'!R$5))*(INDEX(Assumptions!$C$135:$C$155,MATCH('Cash flow forecast'!$B163,Assumptions!$A$135:$A$155,0))),IF(OR('Cash flow forecast'!R$5=INDEX(Assumptions!$E$135:$E$155,MATCH('Cash flow forecast'!$B163,Assumptions!$A$135:$A$155,0)),'Cash flow forecast'!R$5=INDEX(Assumptions!$F$135:$F$155,MATCH('Cash flow forecast'!$B163,Assumptions!$A$135:$A$155,0))),SUMIFS(Assumptions!$B$135:$B$155,Assumptions!$A$135:$A$155,'Cash flow forecast'!$B163,Assumptions!$D$135:$D$155,"Annual"),0)),"")</f>
        <v>0</v>
      </c>
      <c r="S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forecast'!S$5))*(INDEX(Assumptions!$C$135:$C$155,MATCH('Cash flow forecast'!$B163,Assumptions!$A$135:$A$155,0))),IF(OR('Cash flow forecast'!S$5=INDEX(Assumptions!$E$135:$E$155,MATCH('Cash flow forecast'!$B163,Assumptions!$A$135:$A$155,0)),'Cash flow forecast'!S$5=INDEX(Assumptions!$F$135:$F$155,MATCH('Cash flow forecast'!$B163,Assumptions!$A$135:$A$155,0))),SUMIFS(Assumptions!$B$135:$B$155,Assumptions!$A$135:$A$155,'Cash flow forecast'!$B163,Assumptions!$D$135:$D$155,"Annual"),0)),"")</f>
        <v>0</v>
      </c>
      <c r="T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forecast'!T$5))*(INDEX(Assumptions!$C$135:$C$155,MATCH('Cash flow forecast'!$B163,Assumptions!$A$135:$A$155,0))),IF(OR('Cash flow forecast'!T$5=INDEX(Assumptions!$E$135:$E$155,MATCH('Cash flow forecast'!$B163,Assumptions!$A$135:$A$155,0)),'Cash flow forecast'!T$5=INDEX(Assumptions!$F$135:$F$155,MATCH('Cash flow forecast'!$B163,Assumptions!$A$135:$A$155,0))),SUMIFS(Assumptions!$B$135:$B$155,Assumptions!$A$135:$A$155,'Cash flow forecast'!$B163,Assumptions!$D$135:$D$155,"Annual"),0)),"")</f>
        <v>0</v>
      </c>
      <c r="U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forecast'!U$5))*(INDEX(Assumptions!$C$135:$C$155,MATCH('Cash flow forecast'!$B163,Assumptions!$A$135:$A$155,0))),IF(OR('Cash flow forecast'!U$5=INDEX(Assumptions!$E$135:$E$155,MATCH('Cash flow forecast'!$B163,Assumptions!$A$135:$A$155,0)),'Cash flow forecast'!U$5=INDEX(Assumptions!$F$135:$F$155,MATCH('Cash flow forecast'!$B163,Assumptions!$A$135:$A$155,0))),SUMIFS(Assumptions!$B$135:$B$155,Assumptions!$A$135:$A$155,'Cash flow forecast'!$B163,Assumptions!$D$135:$D$155,"Annual"),0)),"")</f>
        <v>0</v>
      </c>
      <c r="V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forecast'!V$5))*(INDEX(Assumptions!$C$135:$C$155,MATCH('Cash flow forecast'!$B163,Assumptions!$A$135:$A$155,0))),IF(OR('Cash flow forecast'!V$5=INDEX(Assumptions!$E$135:$E$155,MATCH('Cash flow forecast'!$B163,Assumptions!$A$135:$A$155,0)),'Cash flow forecast'!V$5=INDEX(Assumptions!$F$135:$F$155,MATCH('Cash flow forecast'!$B163,Assumptions!$A$135:$A$155,0))),SUMIFS(Assumptions!$B$135:$B$155,Assumptions!$A$135:$A$155,'Cash flow forecast'!$B163,Assumptions!$D$135:$D$155,"Annual"),0)),"")</f>
        <v>0</v>
      </c>
      <c r="W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forecast'!W$5))*(INDEX(Assumptions!$C$135:$C$155,MATCH('Cash flow forecast'!$B163,Assumptions!$A$135:$A$155,0))),IF(OR('Cash flow forecast'!W$5=INDEX(Assumptions!$E$135:$E$155,MATCH('Cash flow forecast'!$B163,Assumptions!$A$135:$A$155,0)),'Cash flow forecast'!W$5=INDEX(Assumptions!$F$135:$F$155,MATCH('Cash flow forecast'!$B163,Assumptions!$A$135:$A$155,0))),SUMIFS(Assumptions!$B$135:$B$155,Assumptions!$A$135:$A$155,'Cash flow forecast'!$B163,Assumptions!$D$135:$D$155,"Annual"),0)),"")</f>
        <v>0</v>
      </c>
      <c r="X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forecast'!X$5))*(INDEX(Assumptions!$C$135:$C$155,MATCH('Cash flow forecast'!$B163,Assumptions!$A$135:$A$155,0))),IF(OR('Cash flow forecast'!X$5=INDEX(Assumptions!$E$135:$E$155,MATCH('Cash flow forecast'!$B163,Assumptions!$A$135:$A$155,0)),'Cash flow forecast'!X$5=INDEX(Assumptions!$F$135:$F$155,MATCH('Cash flow forecast'!$B163,Assumptions!$A$135:$A$155,0))),SUMIFS(Assumptions!$B$135:$B$155,Assumptions!$A$135:$A$155,'Cash flow forecast'!$B163,Assumptions!$D$135:$D$155,"Annual"),0)),"")</f>
        <v>0</v>
      </c>
      <c r="Y163" s="222">
        <f>IFERROR(IF(INDEX(Assumptions!$D$135:$D$155,MATCH('Cash flow forecast'!$B163,Assumptions!$A$135:$A$155,0))="Monthly",(SUMIFS(Assumptions!$B$135:$B$155,Assumptions!$A$135:$A$155,'Cash flow forecast'!$B163,Assumptions!$E$135:$E$155,"&lt;="&amp;'Cash flow forecast'!Y$5))*(INDEX(Assumptions!$C$135:$C$155,MATCH('Cash flow forecast'!$B163,Assumptions!$A$135:$A$155,0))),IF(OR('Cash flow forecast'!Y$5=INDEX(Assumptions!$E$135:$E$155,MATCH('Cash flow forecast'!$B163,Assumptions!$A$135:$A$155,0)),'Cash flow forecast'!Y$5=INDEX(Assumptions!$F$135:$F$155,MATCH('Cash flow forecast'!$B163,Assumptions!$A$135:$A$155,0))),SUMIFS(Assumptions!$B$135:$B$155,Assumptions!$A$135:$A$155,'Cash flow forecast'!$B163,Assumptions!$D$135:$D$155,"Annual"),0)),"")</f>
        <v>0</v>
      </c>
      <c r="Z163" s="223">
        <f>IFERROR(IF(INDEX(Assumptions!$D$135:$D$155,MATCH('Cash flow forecast'!$B163,Assumptions!$A$135:$A$155,0))="Monthly",(SUMIFS(Assumptions!$B$135:$B$155,Assumptions!$A$135:$A$155,'Cash flow forecast'!$B163,Assumptions!$E$135:$E$155,"&lt;="&amp;'Cash flow forecast'!Z$5))*(INDEX(Assumptions!$C$135:$C$155,MATCH('Cash flow forecast'!$B163,Assumptions!$A$135:$A$155,0))),IF(OR('Cash flow forecast'!Z$5=INDEX(Assumptions!$E$135:$E$155,MATCH('Cash flow forecast'!$B163,Assumptions!$A$135:$A$155,0)),'Cash flow forecast'!Z$5=INDEX(Assumptions!$F$135:$F$155,MATCH('Cash flow forecast'!$B163,Assumptions!$A$135:$A$155,0))),SUMIFS(Assumptions!$B$135:$B$155,Assumptions!$A$135:$A$155,'Cash flow forecast'!$B163,Assumptions!$D$135:$D$155,"Annual"),0)),"")</f>
        <v>0</v>
      </c>
      <c r="AA163" s="221">
        <f t="shared" si="172"/>
        <v>50</v>
      </c>
      <c r="AB163" s="224">
        <f t="shared" si="172"/>
        <v>0</v>
      </c>
      <c r="AC163" s="224">
        <f t="shared" si="172"/>
        <v>0</v>
      </c>
      <c r="AD163" s="224">
        <f t="shared" si="172"/>
        <v>0</v>
      </c>
      <c r="AE163" s="225">
        <f t="shared" si="173"/>
        <v>50</v>
      </c>
      <c r="AF163" s="221">
        <f t="shared" si="176"/>
        <v>50</v>
      </c>
      <c r="AG163" s="224">
        <f t="shared" si="174"/>
        <v>0</v>
      </c>
      <c r="AH163" s="224">
        <f t="shared" si="174"/>
        <v>0</v>
      </c>
      <c r="AI163" s="223">
        <f t="shared" si="174"/>
        <v>0</v>
      </c>
      <c r="AJ163" s="225">
        <f t="shared" si="177"/>
        <v>50</v>
      </c>
      <c r="AK163" s="243">
        <f t="shared" si="175"/>
        <v>9.7814157456822519E-5</v>
      </c>
    </row>
    <row r="164" spans="2:37" ht="22.15" hidden="1" customHeight="1" outlineLevel="1" x14ac:dyDescent="0.25">
      <c r="B164" s="91" t="str">
        <f>IF(Assumptions!$A141="","",Assumptions!$A141)</f>
        <v>Test 7</v>
      </c>
      <c r="C164" s="221">
        <f>IFERROR(IF(INDEX(Assumptions!$D$135:$D$155,MATCH('Cash flow forecast'!$B164,Assumptions!$A$135:$A$155,0))="Monthly",(SUMIFS(Assumptions!$B$135:$B$155,Assumptions!$A$135:$A$155,'Cash flow forecast'!$B164,Assumptions!$E$135:$E$155,"&lt;="&amp;'Cash flow forecast'!C$5))*(INDEX(Assumptions!$C$135:$C$155,MATCH('Cash flow forecast'!$B164,Assumptions!$A$135:$A$155,0))),IF(OR('Cash flow forecast'!C$5=INDEX(Assumptions!$E$135:$E$155,MATCH('Cash flow forecast'!$B164,Assumptions!$A$135:$A$155,0)),'Cash flow forecast'!C$5=INDEX(Assumptions!$F$135:$F$155,MATCH('Cash flow forecast'!$B164,Assumptions!$A$135:$A$155,0))),SUMIFS(Assumptions!$B$135:$B$155,Assumptions!$A$135:$A$155,'Cash flow forecast'!$B164,Assumptions!$D$135:$D$155,"Annual"),0)),"")</f>
        <v>15.35</v>
      </c>
      <c r="D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forecast'!D$5))*(INDEX(Assumptions!$C$135:$C$155,MATCH('Cash flow forecast'!$B164,Assumptions!$A$135:$A$155,0))),IF(OR('Cash flow forecast'!D$5=INDEX(Assumptions!$E$135:$E$155,MATCH('Cash flow forecast'!$B164,Assumptions!$A$135:$A$155,0)),'Cash flow forecast'!D$5=INDEX(Assumptions!$F$135:$F$155,MATCH('Cash flow forecast'!$B164,Assumptions!$A$135:$A$155,0))),SUMIFS(Assumptions!$B$135:$B$155,Assumptions!$A$135:$A$155,'Cash flow forecast'!$B164,Assumptions!$D$135:$D$155,"Annual"),0)),"")</f>
        <v>15.35</v>
      </c>
      <c r="E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forecast'!E$5))*(INDEX(Assumptions!$C$135:$C$155,MATCH('Cash flow forecast'!$B164,Assumptions!$A$135:$A$155,0))),IF(OR('Cash flow forecast'!E$5=INDEX(Assumptions!$E$135:$E$155,MATCH('Cash flow forecast'!$B164,Assumptions!$A$135:$A$155,0)),'Cash flow forecast'!E$5=INDEX(Assumptions!$F$135:$F$155,MATCH('Cash flow forecast'!$B164,Assumptions!$A$135:$A$155,0))),SUMIFS(Assumptions!$B$135:$B$155,Assumptions!$A$135:$A$155,'Cash flow forecast'!$B164,Assumptions!$D$135:$D$155,"Annual"),0)),"")</f>
        <v>15.35</v>
      </c>
      <c r="F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forecast'!F$5))*(INDEX(Assumptions!$C$135:$C$155,MATCH('Cash flow forecast'!$B164,Assumptions!$A$135:$A$155,0))),IF(OR('Cash flow forecast'!F$5=INDEX(Assumptions!$E$135:$E$155,MATCH('Cash flow forecast'!$B164,Assumptions!$A$135:$A$155,0)),'Cash flow forecast'!F$5=INDEX(Assumptions!$F$135:$F$155,MATCH('Cash flow forecast'!$B164,Assumptions!$A$135:$A$155,0))),SUMIFS(Assumptions!$B$135:$B$155,Assumptions!$A$135:$A$155,'Cash flow forecast'!$B164,Assumptions!$D$135:$D$155,"Annual"),0)),"")</f>
        <v>15.35</v>
      </c>
      <c r="G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forecast'!G$5))*(INDEX(Assumptions!$C$135:$C$155,MATCH('Cash flow forecast'!$B164,Assumptions!$A$135:$A$155,0))),IF(OR('Cash flow forecast'!G$5=INDEX(Assumptions!$E$135:$E$155,MATCH('Cash flow forecast'!$B164,Assumptions!$A$135:$A$155,0)),'Cash flow forecast'!G$5=INDEX(Assumptions!$F$135:$F$155,MATCH('Cash flow forecast'!$B164,Assumptions!$A$135:$A$155,0))),SUMIFS(Assumptions!$B$135:$B$155,Assumptions!$A$135:$A$155,'Cash flow forecast'!$B164,Assumptions!$D$135:$D$155,"Annual"),0)),"")</f>
        <v>15.35</v>
      </c>
      <c r="H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forecast'!H$5))*(INDEX(Assumptions!$C$135:$C$155,MATCH('Cash flow forecast'!$B164,Assumptions!$A$135:$A$155,0))),IF(OR('Cash flow forecast'!H$5=INDEX(Assumptions!$E$135:$E$155,MATCH('Cash flow forecast'!$B164,Assumptions!$A$135:$A$155,0)),'Cash flow forecast'!H$5=INDEX(Assumptions!$F$135:$F$155,MATCH('Cash flow forecast'!$B164,Assumptions!$A$135:$A$155,0))),SUMIFS(Assumptions!$B$135:$B$155,Assumptions!$A$135:$A$155,'Cash flow forecast'!$B164,Assumptions!$D$135:$D$155,"Annual"),0)),"")</f>
        <v>15.35</v>
      </c>
      <c r="I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forecast'!I$5))*(INDEX(Assumptions!$C$135:$C$155,MATCH('Cash flow forecast'!$B164,Assumptions!$A$135:$A$155,0))),IF(OR('Cash flow forecast'!I$5=INDEX(Assumptions!$E$135:$E$155,MATCH('Cash flow forecast'!$B164,Assumptions!$A$135:$A$155,0)),'Cash flow forecast'!I$5=INDEX(Assumptions!$F$135:$F$155,MATCH('Cash flow forecast'!$B164,Assumptions!$A$135:$A$155,0))),SUMIFS(Assumptions!$B$135:$B$155,Assumptions!$A$135:$A$155,'Cash flow forecast'!$B164,Assumptions!$D$135:$D$155,"Annual"),0)),"")</f>
        <v>15.35</v>
      </c>
      <c r="J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forecast'!J$5))*(INDEX(Assumptions!$C$135:$C$155,MATCH('Cash flow forecast'!$B164,Assumptions!$A$135:$A$155,0))),IF(OR('Cash flow forecast'!J$5=INDEX(Assumptions!$E$135:$E$155,MATCH('Cash flow forecast'!$B164,Assumptions!$A$135:$A$155,0)),'Cash flow forecast'!J$5=INDEX(Assumptions!$F$135:$F$155,MATCH('Cash flow forecast'!$B164,Assumptions!$A$135:$A$155,0))),SUMIFS(Assumptions!$B$135:$B$155,Assumptions!$A$135:$A$155,'Cash flow forecast'!$B164,Assumptions!$D$135:$D$155,"Annual"),0)),"")</f>
        <v>15.35</v>
      </c>
      <c r="K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forecast'!K$5))*(INDEX(Assumptions!$C$135:$C$155,MATCH('Cash flow forecast'!$B164,Assumptions!$A$135:$A$155,0))),IF(OR('Cash flow forecast'!K$5=INDEX(Assumptions!$E$135:$E$155,MATCH('Cash flow forecast'!$B164,Assumptions!$A$135:$A$155,0)),'Cash flow forecast'!K$5=INDEX(Assumptions!$F$135:$F$155,MATCH('Cash flow forecast'!$B164,Assumptions!$A$135:$A$155,0))),SUMIFS(Assumptions!$B$135:$B$155,Assumptions!$A$135:$A$155,'Cash flow forecast'!$B164,Assumptions!$D$135:$D$155,"Annual"),0)),"")</f>
        <v>15.35</v>
      </c>
      <c r="L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forecast'!L$5))*(INDEX(Assumptions!$C$135:$C$155,MATCH('Cash flow forecast'!$B164,Assumptions!$A$135:$A$155,0))),IF(OR('Cash flow forecast'!L$5=INDEX(Assumptions!$E$135:$E$155,MATCH('Cash flow forecast'!$B164,Assumptions!$A$135:$A$155,0)),'Cash flow forecast'!L$5=INDEX(Assumptions!$F$135:$F$155,MATCH('Cash flow forecast'!$B164,Assumptions!$A$135:$A$155,0))),SUMIFS(Assumptions!$B$135:$B$155,Assumptions!$A$135:$A$155,'Cash flow forecast'!$B164,Assumptions!$D$135:$D$155,"Annual"),0)),"")</f>
        <v>15.35</v>
      </c>
      <c r="M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forecast'!M$5))*(INDEX(Assumptions!$C$135:$C$155,MATCH('Cash flow forecast'!$B164,Assumptions!$A$135:$A$155,0))),IF(OR('Cash flow forecast'!M$5=INDEX(Assumptions!$E$135:$E$155,MATCH('Cash flow forecast'!$B164,Assumptions!$A$135:$A$155,0)),'Cash flow forecast'!M$5=INDEX(Assumptions!$F$135:$F$155,MATCH('Cash flow forecast'!$B164,Assumptions!$A$135:$A$155,0))),SUMIFS(Assumptions!$B$135:$B$155,Assumptions!$A$135:$A$155,'Cash flow forecast'!$B164,Assumptions!$D$135:$D$155,"Annual"),0)),"")</f>
        <v>15.35</v>
      </c>
      <c r="N164" s="223">
        <f>IFERROR(IF(INDEX(Assumptions!$D$135:$D$155,MATCH('Cash flow forecast'!$B164,Assumptions!$A$135:$A$155,0))="Monthly",(SUMIFS(Assumptions!$B$135:$B$155,Assumptions!$A$135:$A$155,'Cash flow forecast'!$B164,Assumptions!$E$135:$E$155,"&lt;="&amp;'Cash flow forecast'!N$5))*(INDEX(Assumptions!$C$135:$C$155,MATCH('Cash flow forecast'!$B164,Assumptions!$A$135:$A$155,0))),IF(OR('Cash flow forecast'!N$5=INDEX(Assumptions!$E$135:$E$155,MATCH('Cash flow forecast'!$B164,Assumptions!$A$135:$A$155,0)),'Cash flow forecast'!N$5=INDEX(Assumptions!$F$135:$F$155,MATCH('Cash flow forecast'!$B164,Assumptions!$A$135:$A$155,0))),SUMIFS(Assumptions!$B$135:$B$155,Assumptions!$A$135:$A$155,'Cash flow forecast'!$B164,Assumptions!$D$135:$D$155,"Annual"),0)),"")</f>
        <v>15.35</v>
      </c>
      <c r="O164" s="221">
        <f>IFERROR(IF(INDEX(Assumptions!$D$135:$D$155,MATCH('Cash flow forecast'!$B164,Assumptions!$A$135:$A$155,0))="Monthly",(SUMIFS(Assumptions!$B$135:$B$155,Assumptions!$A$135:$A$155,'Cash flow forecast'!$B164,Assumptions!$E$135:$E$155,"&lt;="&amp;'Cash flow forecast'!O$5))*(INDEX(Assumptions!$C$135:$C$155,MATCH('Cash flow forecast'!$B164,Assumptions!$A$135:$A$155,0))),IF(OR('Cash flow forecast'!O$5=INDEX(Assumptions!$E$135:$E$155,MATCH('Cash flow forecast'!$B164,Assumptions!$A$135:$A$155,0)),'Cash flow forecast'!O$5=INDEX(Assumptions!$F$135:$F$155,MATCH('Cash flow forecast'!$B164,Assumptions!$A$135:$A$155,0))),SUMIFS(Assumptions!$B$135:$B$155,Assumptions!$A$135:$A$155,'Cash flow forecast'!$B164,Assumptions!$D$135:$D$155,"Annual"),0)),"")</f>
        <v>15.35</v>
      </c>
      <c r="P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forecast'!P$5))*(INDEX(Assumptions!$C$135:$C$155,MATCH('Cash flow forecast'!$B164,Assumptions!$A$135:$A$155,0))),IF(OR('Cash flow forecast'!P$5=INDEX(Assumptions!$E$135:$E$155,MATCH('Cash flow forecast'!$B164,Assumptions!$A$135:$A$155,0)),'Cash flow forecast'!P$5=INDEX(Assumptions!$F$135:$F$155,MATCH('Cash flow forecast'!$B164,Assumptions!$A$135:$A$155,0))),SUMIFS(Assumptions!$B$135:$B$155,Assumptions!$A$135:$A$155,'Cash flow forecast'!$B164,Assumptions!$D$135:$D$155,"Annual"),0)),"")</f>
        <v>15.35</v>
      </c>
      <c r="Q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forecast'!Q$5))*(INDEX(Assumptions!$C$135:$C$155,MATCH('Cash flow forecast'!$B164,Assumptions!$A$135:$A$155,0))),IF(OR('Cash flow forecast'!Q$5=INDEX(Assumptions!$E$135:$E$155,MATCH('Cash flow forecast'!$B164,Assumptions!$A$135:$A$155,0)),'Cash flow forecast'!Q$5=INDEX(Assumptions!$F$135:$F$155,MATCH('Cash flow forecast'!$B164,Assumptions!$A$135:$A$155,0))),SUMIFS(Assumptions!$B$135:$B$155,Assumptions!$A$135:$A$155,'Cash flow forecast'!$B164,Assumptions!$D$135:$D$155,"Annual"),0)),"")</f>
        <v>15.35</v>
      </c>
      <c r="R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forecast'!R$5))*(INDEX(Assumptions!$C$135:$C$155,MATCH('Cash flow forecast'!$B164,Assumptions!$A$135:$A$155,0))),IF(OR('Cash flow forecast'!R$5=INDEX(Assumptions!$E$135:$E$155,MATCH('Cash flow forecast'!$B164,Assumptions!$A$135:$A$155,0)),'Cash flow forecast'!R$5=INDEX(Assumptions!$F$135:$F$155,MATCH('Cash flow forecast'!$B164,Assumptions!$A$135:$A$155,0))),SUMIFS(Assumptions!$B$135:$B$155,Assumptions!$A$135:$A$155,'Cash flow forecast'!$B164,Assumptions!$D$135:$D$155,"Annual"),0)),"")</f>
        <v>15.35</v>
      </c>
      <c r="S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forecast'!S$5))*(INDEX(Assumptions!$C$135:$C$155,MATCH('Cash flow forecast'!$B164,Assumptions!$A$135:$A$155,0))),IF(OR('Cash flow forecast'!S$5=INDEX(Assumptions!$E$135:$E$155,MATCH('Cash flow forecast'!$B164,Assumptions!$A$135:$A$155,0)),'Cash flow forecast'!S$5=INDEX(Assumptions!$F$135:$F$155,MATCH('Cash flow forecast'!$B164,Assumptions!$A$135:$A$155,0))),SUMIFS(Assumptions!$B$135:$B$155,Assumptions!$A$135:$A$155,'Cash flow forecast'!$B164,Assumptions!$D$135:$D$155,"Annual"),0)),"")</f>
        <v>15.35</v>
      </c>
      <c r="T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forecast'!T$5))*(INDEX(Assumptions!$C$135:$C$155,MATCH('Cash flow forecast'!$B164,Assumptions!$A$135:$A$155,0))),IF(OR('Cash flow forecast'!T$5=INDEX(Assumptions!$E$135:$E$155,MATCH('Cash flow forecast'!$B164,Assumptions!$A$135:$A$155,0)),'Cash flow forecast'!T$5=INDEX(Assumptions!$F$135:$F$155,MATCH('Cash flow forecast'!$B164,Assumptions!$A$135:$A$155,0))),SUMIFS(Assumptions!$B$135:$B$155,Assumptions!$A$135:$A$155,'Cash flow forecast'!$B164,Assumptions!$D$135:$D$155,"Annual"),0)),"")</f>
        <v>15.35</v>
      </c>
      <c r="U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forecast'!U$5))*(INDEX(Assumptions!$C$135:$C$155,MATCH('Cash flow forecast'!$B164,Assumptions!$A$135:$A$155,0))),IF(OR('Cash flow forecast'!U$5=INDEX(Assumptions!$E$135:$E$155,MATCH('Cash flow forecast'!$B164,Assumptions!$A$135:$A$155,0)),'Cash flow forecast'!U$5=INDEX(Assumptions!$F$135:$F$155,MATCH('Cash flow forecast'!$B164,Assumptions!$A$135:$A$155,0))),SUMIFS(Assumptions!$B$135:$B$155,Assumptions!$A$135:$A$155,'Cash flow forecast'!$B164,Assumptions!$D$135:$D$155,"Annual"),0)),"")</f>
        <v>15.35</v>
      </c>
      <c r="V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forecast'!V$5))*(INDEX(Assumptions!$C$135:$C$155,MATCH('Cash flow forecast'!$B164,Assumptions!$A$135:$A$155,0))),IF(OR('Cash flow forecast'!V$5=INDEX(Assumptions!$E$135:$E$155,MATCH('Cash flow forecast'!$B164,Assumptions!$A$135:$A$155,0)),'Cash flow forecast'!V$5=INDEX(Assumptions!$F$135:$F$155,MATCH('Cash flow forecast'!$B164,Assumptions!$A$135:$A$155,0))),SUMIFS(Assumptions!$B$135:$B$155,Assumptions!$A$135:$A$155,'Cash flow forecast'!$B164,Assumptions!$D$135:$D$155,"Annual"),0)),"")</f>
        <v>15.35</v>
      </c>
      <c r="W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forecast'!W$5))*(INDEX(Assumptions!$C$135:$C$155,MATCH('Cash flow forecast'!$B164,Assumptions!$A$135:$A$155,0))),IF(OR('Cash flow forecast'!W$5=INDEX(Assumptions!$E$135:$E$155,MATCH('Cash flow forecast'!$B164,Assumptions!$A$135:$A$155,0)),'Cash flow forecast'!W$5=INDEX(Assumptions!$F$135:$F$155,MATCH('Cash flow forecast'!$B164,Assumptions!$A$135:$A$155,0))),SUMIFS(Assumptions!$B$135:$B$155,Assumptions!$A$135:$A$155,'Cash flow forecast'!$B164,Assumptions!$D$135:$D$155,"Annual"),0)),"")</f>
        <v>15.35</v>
      </c>
      <c r="X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forecast'!X$5))*(INDEX(Assumptions!$C$135:$C$155,MATCH('Cash flow forecast'!$B164,Assumptions!$A$135:$A$155,0))),IF(OR('Cash flow forecast'!X$5=INDEX(Assumptions!$E$135:$E$155,MATCH('Cash flow forecast'!$B164,Assumptions!$A$135:$A$155,0)),'Cash flow forecast'!X$5=INDEX(Assumptions!$F$135:$F$155,MATCH('Cash flow forecast'!$B164,Assumptions!$A$135:$A$155,0))),SUMIFS(Assumptions!$B$135:$B$155,Assumptions!$A$135:$A$155,'Cash flow forecast'!$B164,Assumptions!$D$135:$D$155,"Annual"),0)),"")</f>
        <v>15.35</v>
      </c>
      <c r="Y164" s="222">
        <f>IFERROR(IF(INDEX(Assumptions!$D$135:$D$155,MATCH('Cash flow forecast'!$B164,Assumptions!$A$135:$A$155,0))="Monthly",(SUMIFS(Assumptions!$B$135:$B$155,Assumptions!$A$135:$A$155,'Cash flow forecast'!$B164,Assumptions!$E$135:$E$155,"&lt;="&amp;'Cash flow forecast'!Y$5))*(INDEX(Assumptions!$C$135:$C$155,MATCH('Cash flow forecast'!$B164,Assumptions!$A$135:$A$155,0))),IF(OR('Cash flow forecast'!Y$5=INDEX(Assumptions!$E$135:$E$155,MATCH('Cash flow forecast'!$B164,Assumptions!$A$135:$A$155,0)),'Cash flow forecast'!Y$5=INDEX(Assumptions!$F$135:$F$155,MATCH('Cash flow forecast'!$B164,Assumptions!$A$135:$A$155,0))),SUMIFS(Assumptions!$B$135:$B$155,Assumptions!$A$135:$A$155,'Cash flow forecast'!$B164,Assumptions!$D$135:$D$155,"Annual"),0)),"")</f>
        <v>15.35</v>
      </c>
      <c r="Z164" s="223">
        <f>IFERROR(IF(INDEX(Assumptions!$D$135:$D$155,MATCH('Cash flow forecast'!$B164,Assumptions!$A$135:$A$155,0))="Monthly",(SUMIFS(Assumptions!$B$135:$B$155,Assumptions!$A$135:$A$155,'Cash flow forecast'!$B164,Assumptions!$E$135:$E$155,"&lt;="&amp;'Cash flow forecast'!Z$5))*(INDEX(Assumptions!$C$135:$C$155,MATCH('Cash flow forecast'!$B164,Assumptions!$A$135:$A$155,0))),IF(OR('Cash flow forecast'!Z$5=INDEX(Assumptions!$E$135:$E$155,MATCH('Cash flow forecast'!$B164,Assumptions!$A$135:$A$155,0)),'Cash flow forecast'!Z$5=INDEX(Assumptions!$F$135:$F$155,MATCH('Cash flow forecast'!$B164,Assumptions!$A$135:$A$155,0))),SUMIFS(Assumptions!$B$135:$B$155,Assumptions!$A$135:$A$155,'Cash flow forecast'!$B164,Assumptions!$D$135:$D$155,"Annual"),0)),"")</f>
        <v>15.35</v>
      </c>
      <c r="AA164" s="221">
        <f t="shared" si="172"/>
        <v>46.05</v>
      </c>
      <c r="AB164" s="224">
        <f t="shared" si="172"/>
        <v>46.05</v>
      </c>
      <c r="AC164" s="224">
        <f t="shared" si="172"/>
        <v>46.05</v>
      </c>
      <c r="AD164" s="224">
        <f t="shared" si="172"/>
        <v>46.05</v>
      </c>
      <c r="AE164" s="225">
        <f t="shared" si="173"/>
        <v>184.19999999999996</v>
      </c>
      <c r="AF164" s="221">
        <f t="shared" si="176"/>
        <v>46.05</v>
      </c>
      <c r="AG164" s="224">
        <f t="shared" si="174"/>
        <v>46.05</v>
      </c>
      <c r="AH164" s="224">
        <f t="shared" si="174"/>
        <v>46.05</v>
      </c>
      <c r="AI164" s="223">
        <f t="shared" si="174"/>
        <v>46.05</v>
      </c>
      <c r="AJ164" s="225">
        <f t="shared" si="177"/>
        <v>184.19999999999996</v>
      </c>
      <c r="AK164" s="243">
        <f t="shared" si="175"/>
        <v>3.6034735607093409E-4</v>
      </c>
    </row>
    <row r="165" spans="2:37" ht="22.15" hidden="1" customHeight="1" outlineLevel="1" x14ac:dyDescent="0.25">
      <c r="B165" s="91" t="str">
        <f>IF(Assumptions!$A142="","",Assumptions!$A142)</f>
        <v>Test 8</v>
      </c>
      <c r="C165" s="221">
        <f>IFERROR(IF(INDEX(Assumptions!$D$135:$D$155,MATCH('Cash flow forecast'!$B165,Assumptions!$A$135:$A$155,0))="Monthly",(SUMIFS(Assumptions!$B$135:$B$155,Assumptions!$A$135:$A$155,'Cash flow forecast'!$B165,Assumptions!$E$135:$E$155,"&lt;="&amp;'Cash flow forecast'!C$5))*(INDEX(Assumptions!$C$135:$C$155,MATCH('Cash flow forecast'!$B165,Assumptions!$A$135:$A$155,0))),IF(OR('Cash flow forecast'!C$5=INDEX(Assumptions!$E$135:$E$155,MATCH('Cash flow forecast'!$B165,Assumptions!$A$135:$A$155,0)),'Cash flow forecast'!C$5=INDEX(Assumptions!$F$135:$F$155,MATCH('Cash flow forecast'!$B165,Assumptions!$A$135:$A$155,0))),SUMIFS(Assumptions!$B$135:$B$155,Assumptions!$A$135:$A$155,'Cash flow forecast'!$B165,Assumptions!$D$135:$D$155,"Annual"),0)),"")</f>
        <v>68</v>
      </c>
      <c r="D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forecast'!D$5))*(INDEX(Assumptions!$C$135:$C$155,MATCH('Cash flow forecast'!$B165,Assumptions!$A$135:$A$155,0))),IF(OR('Cash flow forecast'!D$5=INDEX(Assumptions!$E$135:$E$155,MATCH('Cash flow forecast'!$B165,Assumptions!$A$135:$A$155,0)),'Cash flow forecast'!D$5=INDEX(Assumptions!$F$135:$F$155,MATCH('Cash flow forecast'!$B165,Assumptions!$A$135:$A$155,0))),SUMIFS(Assumptions!$B$135:$B$155,Assumptions!$A$135:$A$155,'Cash flow forecast'!$B165,Assumptions!$D$135:$D$155,"Annual"),0)),"")</f>
        <v>0</v>
      </c>
      <c r="E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forecast'!E$5))*(INDEX(Assumptions!$C$135:$C$155,MATCH('Cash flow forecast'!$B165,Assumptions!$A$135:$A$155,0))),IF(OR('Cash flow forecast'!E$5=INDEX(Assumptions!$E$135:$E$155,MATCH('Cash flow forecast'!$B165,Assumptions!$A$135:$A$155,0)),'Cash flow forecast'!E$5=INDEX(Assumptions!$F$135:$F$155,MATCH('Cash flow forecast'!$B165,Assumptions!$A$135:$A$155,0))),SUMIFS(Assumptions!$B$135:$B$155,Assumptions!$A$135:$A$155,'Cash flow forecast'!$B165,Assumptions!$D$135:$D$155,"Annual"),0)),"")</f>
        <v>0</v>
      </c>
      <c r="F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forecast'!F$5))*(INDEX(Assumptions!$C$135:$C$155,MATCH('Cash flow forecast'!$B165,Assumptions!$A$135:$A$155,0))),IF(OR('Cash flow forecast'!F$5=INDEX(Assumptions!$E$135:$E$155,MATCH('Cash flow forecast'!$B165,Assumptions!$A$135:$A$155,0)),'Cash flow forecast'!F$5=INDEX(Assumptions!$F$135:$F$155,MATCH('Cash flow forecast'!$B165,Assumptions!$A$135:$A$155,0))),SUMIFS(Assumptions!$B$135:$B$155,Assumptions!$A$135:$A$155,'Cash flow forecast'!$B165,Assumptions!$D$135:$D$155,"Annual"),0)),"")</f>
        <v>0</v>
      </c>
      <c r="G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forecast'!G$5))*(INDEX(Assumptions!$C$135:$C$155,MATCH('Cash flow forecast'!$B165,Assumptions!$A$135:$A$155,0))),IF(OR('Cash flow forecast'!G$5=INDEX(Assumptions!$E$135:$E$155,MATCH('Cash flow forecast'!$B165,Assumptions!$A$135:$A$155,0)),'Cash flow forecast'!G$5=INDEX(Assumptions!$F$135:$F$155,MATCH('Cash flow forecast'!$B165,Assumptions!$A$135:$A$155,0))),SUMIFS(Assumptions!$B$135:$B$155,Assumptions!$A$135:$A$155,'Cash flow forecast'!$B165,Assumptions!$D$135:$D$155,"Annual"),0)),"")</f>
        <v>0</v>
      </c>
      <c r="H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forecast'!H$5))*(INDEX(Assumptions!$C$135:$C$155,MATCH('Cash flow forecast'!$B165,Assumptions!$A$135:$A$155,0))),IF(OR('Cash flow forecast'!H$5=INDEX(Assumptions!$E$135:$E$155,MATCH('Cash flow forecast'!$B165,Assumptions!$A$135:$A$155,0)),'Cash flow forecast'!H$5=INDEX(Assumptions!$F$135:$F$155,MATCH('Cash flow forecast'!$B165,Assumptions!$A$135:$A$155,0))),SUMIFS(Assumptions!$B$135:$B$155,Assumptions!$A$135:$A$155,'Cash flow forecast'!$B165,Assumptions!$D$135:$D$155,"Annual"),0)),"")</f>
        <v>0</v>
      </c>
      <c r="I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forecast'!I$5))*(INDEX(Assumptions!$C$135:$C$155,MATCH('Cash flow forecast'!$B165,Assumptions!$A$135:$A$155,0))),IF(OR('Cash flow forecast'!I$5=INDEX(Assumptions!$E$135:$E$155,MATCH('Cash flow forecast'!$B165,Assumptions!$A$135:$A$155,0)),'Cash flow forecast'!I$5=INDEX(Assumptions!$F$135:$F$155,MATCH('Cash flow forecast'!$B165,Assumptions!$A$135:$A$155,0))),SUMIFS(Assumptions!$B$135:$B$155,Assumptions!$A$135:$A$155,'Cash flow forecast'!$B165,Assumptions!$D$135:$D$155,"Annual"),0)),"")</f>
        <v>0</v>
      </c>
      <c r="J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forecast'!J$5))*(INDEX(Assumptions!$C$135:$C$155,MATCH('Cash flow forecast'!$B165,Assumptions!$A$135:$A$155,0))),IF(OR('Cash flow forecast'!J$5=INDEX(Assumptions!$E$135:$E$155,MATCH('Cash flow forecast'!$B165,Assumptions!$A$135:$A$155,0)),'Cash flow forecast'!J$5=INDEX(Assumptions!$F$135:$F$155,MATCH('Cash flow forecast'!$B165,Assumptions!$A$135:$A$155,0))),SUMIFS(Assumptions!$B$135:$B$155,Assumptions!$A$135:$A$155,'Cash flow forecast'!$B165,Assumptions!$D$135:$D$155,"Annual"),0)),"")</f>
        <v>0</v>
      </c>
      <c r="K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forecast'!K$5))*(INDEX(Assumptions!$C$135:$C$155,MATCH('Cash flow forecast'!$B165,Assumptions!$A$135:$A$155,0))),IF(OR('Cash flow forecast'!K$5=INDEX(Assumptions!$E$135:$E$155,MATCH('Cash flow forecast'!$B165,Assumptions!$A$135:$A$155,0)),'Cash flow forecast'!K$5=INDEX(Assumptions!$F$135:$F$155,MATCH('Cash flow forecast'!$B165,Assumptions!$A$135:$A$155,0))),SUMIFS(Assumptions!$B$135:$B$155,Assumptions!$A$135:$A$155,'Cash flow forecast'!$B165,Assumptions!$D$135:$D$155,"Annual"),0)),"")</f>
        <v>0</v>
      </c>
      <c r="L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forecast'!L$5))*(INDEX(Assumptions!$C$135:$C$155,MATCH('Cash flow forecast'!$B165,Assumptions!$A$135:$A$155,0))),IF(OR('Cash flow forecast'!L$5=INDEX(Assumptions!$E$135:$E$155,MATCH('Cash flow forecast'!$B165,Assumptions!$A$135:$A$155,0)),'Cash flow forecast'!L$5=INDEX(Assumptions!$F$135:$F$155,MATCH('Cash flow forecast'!$B165,Assumptions!$A$135:$A$155,0))),SUMIFS(Assumptions!$B$135:$B$155,Assumptions!$A$135:$A$155,'Cash flow forecast'!$B165,Assumptions!$D$135:$D$155,"Annual"),0)),"")</f>
        <v>0</v>
      </c>
      <c r="M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forecast'!M$5))*(INDEX(Assumptions!$C$135:$C$155,MATCH('Cash flow forecast'!$B165,Assumptions!$A$135:$A$155,0))),IF(OR('Cash flow forecast'!M$5=INDEX(Assumptions!$E$135:$E$155,MATCH('Cash flow forecast'!$B165,Assumptions!$A$135:$A$155,0)),'Cash flow forecast'!M$5=INDEX(Assumptions!$F$135:$F$155,MATCH('Cash flow forecast'!$B165,Assumptions!$A$135:$A$155,0))),SUMIFS(Assumptions!$B$135:$B$155,Assumptions!$A$135:$A$155,'Cash flow forecast'!$B165,Assumptions!$D$135:$D$155,"Annual"),0)),"")</f>
        <v>0</v>
      </c>
      <c r="N165" s="223">
        <f>IFERROR(IF(INDEX(Assumptions!$D$135:$D$155,MATCH('Cash flow forecast'!$B165,Assumptions!$A$135:$A$155,0))="Monthly",(SUMIFS(Assumptions!$B$135:$B$155,Assumptions!$A$135:$A$155,'Cash flow forecast'!$B165,Assumptions!$E$135:$E$155,"&lt;="&amp;'Cash flow forecast'!N$5))*(INDEX(Assumptions!$C$135:$C$155,MATCH('Cash flow forecast'!$B165,Assumptions!$A$135:$A$155,0))),IF(OR('Cash flow forecast'!N$5=INDEX(Assumptions!$E$135:$E$155,MATCH('Cash flow forecast'!$B165,Assumptions!$A$135:$A$155,0)),'Cash flow forecast'!N$5=INDEX(Assumptions!$F$135:$F$155,MATCH('Cash flow forecast'!$B165,Assumptions!$A$135:$A$155,0))),SUMIFS(Assumptions!$B$135:$B$155,Assumptions!$A$135:$A$155,'Cash flow forecast'!$B165,Assumptions!$D$135:$D$155,"Annual"),0)),"")</f>
        <v>0</v>
      </c>
      <c r="O165" s="221">
        <f>IFERROR(IF(INDEX(Assumptions!$D$135:$D$155,MATCH('Cash flow forecast'!$B165,Assumptions!$A$135:$A$155,0))="Monthly",(SUMIFS(Assumptions!$B$135:$B$155,Assumptions!$A$135:$A$155,'Cash flow forecast'!$B165,Assumptions!$E$135:$E$155,"&lt;="&amp;'Cash flow forecast'!O$5))*(INDEX(Assumptions!$C$135:$C$155,MATCH('Cash flow forecast'!$B165,Assumptions!$A$135:$A$155,0))),IF(OR('Cash flow forecast'!O$5=INDEX(Assumptions!$E$135:$E$155,MATCH('Cash flow forecast'!$B165,Assumptions!$A$135:$A$155,0)),'Cash flow forecast'!O$5=INDEX(Assumptions!$F$135:$F$155,MATCH('Cash flow forecast'!$B165,Assumptions!$A$135:$A$155,0))),SUMIFS(Assumptions!$B$135:$B$155,Assumptions!$A$135:$A$155,'Cash flow forecast'!$B165,Assumptions!$D$135:$D$155,"Annual"),0)),"")</f>
        <v>68</v>
      </c>
      <c r="P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forecast'!P$5))*(INDEX(Assumptions!$C$135:$C$155,MATCH('Cash flow forecast'!$B165,Assumptions!$A$135:$A$155,0))),IF(OR('Cash flow forecast'!P$5=INDEX(Assumptions!$E$135:$E$155,MATCH('Cash flow forecast'!$B165,Assumptions!$A$135:$A$155,0)),'Cash flow forecast'!P$5=INDEX(Assumptions!$F$135:$F$155,MATCH('Cash flow forecast'!$B165,Assumptions!$A$135:$A$155,0))),SUMIFS(Assumptions!$B$135:$B$155,Assumptions!$A$135:$A$155,'Cash flow forecast'!$B165,Assumptions!$D$135:$D$155,"Annual"),0)),"")</f>
        <v>0</v>
      </c>
      <c r="Q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forecast'!Q$5))*(INDEX(Assumptions!$C$135:$C$155,MATCH('Cash flow forecast'!$B165,Assumptions!$A$135:$A$155,0))),IF(OR('Cash flow forecast'!Q$5=INDEX(Assumptions!$E$135:$E$155,MATCH('Cash flow forecast'!$B165,Assumptions!$A$135:$A$155,0)),'Cash flow forecast'!Q$5=INDEX(Assumptions!$F$135:$F$155,MATCH('Cash flow forecast'!$B165,Assumptions!$A$135:$A$155,0))),SUMIFS(Assumptions!$B$135:$B$155,Assumptions!$A$135:$A$155,'Cash flow forecast'!$B165,Assumptions!$D$135:$D$155,"Annual"),0)),"")</f>
        <v>0</v>
      </c>
      <c r="R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forecast'!R$5))*(INDEX(Assumptions!$C$135:$C$155,MATCH('Cash flow forecast'!$B165,Assumptions!$A$135:$A$155,0))),IF(OR('Cash flow forecast'!R$5=INDEX(Assumptions!$E$135:$E$155,MATCH('Cash flow forecast'!$B165,Assumptions!$A$135:$A$155,0)),'Cash flow forecast'!R$5=INDEX(Assumptions!$F$135:$F$155,MATCH('Cash flow forecast'!$B165,Assumptions!$A$135:$A$155,0))),SUMIFS(Assumptions!$B$135:$B$155,Assumptions!$A$135:$A$155,'Cash flow forecast'!$B165,Assumptions!$D$135:$D$155,"Annual"),0)),"")</f>
        <v>0</v>
      </c>
      <c r="S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forecast'!S$5))*(INDEX(Assumptions!$C$135:$C$155,MATCH('Cash flow forecast'!$B165,Assumptions!$A$135:$A$155,0))),IF(OR('Cash flow forecast'!S$5=INDEX(Assumptions!$E$135:$E$155,MATCH('Cash flow forecast'!$B165,Assumptions!$A$135:$A$155,0)),'Cash flow forecast'!S$5=INDEX(Assumptions!$F$135:$F$155,MATCH('Cash flow forecast'!$B165,Assumptions!$A$135:$A$155,0))),SUMIFS(Assumptions!$B$135:$B$155,Assumptions!$A$135:$A$155,'Cash flow forecast'!$B165,Assumptions!$D$135:$D$155,"Annual"),0)),"")</f>
        <v>0</v>
      </c>
      <c r="T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forecast'!T$5))*(INDEX(Assumptions!$C$135:$C$155,MATCH('Cash flow forecast'!$B165,Assumptions!$A$135:$A$155,0))),IF(OR('Cash flow forecast'!T$5=INDEX(Assumptions!$E$135:$E$155,MATCH('Cash flow forecast'!$B165,Assumptions!$A$135:$A$155,0)),'Cash flow forecast'!T$5=INDEX(Assumptions!$F$135:$F$155,MATCH('Cash flow forecast'!$B165,Assumptions!$A$135:$A$155,0))),SUMIFS(Assumptions!$B$135:$B$155,Assumptions!$A$135:$A$155,'Cash flow forecast'!$B165,Assumptions!$D$135:$D$155,"Annual"),0)),"")</f>
        <v>0</v>
      </c>
      <c r="U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forecast'!U$5))*(INDEX(Assumptions!$C$135:$C$155,MATCH('Cash flow forecast'!$B165,Assumptions!$A$135:$A$155,0))),IF(OR('Cash flow forecast'!U$5=INDEX(Assumptions!$E$135:$E$155,MATCH('Cash flow forecast'!$B165,Assumptions!$A$135:$A$155,0)),'Cash flow forecast'!U$5=INDEX(Assumptions!$F$135:$F$155,MATCH('Cash flow forecast'!$B165,Assumptions!$A$135:$A$155,0))),SUMIFS(Assumptions!$B$135:$B$155,Assumptions!$A$135:$A$155,'Cash flow forecast'!$B165,Assumptions!$D$135:$D$155,"Annual"),0)),"")</f>
        <v>0</v>
      </c>
      <c r="V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forecast'!V$5))*(INDEX(Assumptions!$C$135:$C$155,MATCH('Cash flow forecast'!$B165,Assumptions!$A$135:$A$155,0))),IF(OR('Cash flow forecast'!V$5=INDEX(Assumptions!$E$135:$E$155,MATCH('Cash flow forecast'!$B165,Assumptions!$A$135:$A$155,0)),'Cash flow forecast'!V$5=INDEX(Assumptions!$F$135:$F$155,MATCH('Cash flow forecast'!$B165,Assumptions!$A$135:$A$155,0))),SUMIFS(Assumptions!$B$135:$B$155,Assumptions!$A$135:$A$155,'Cash flow forecast'!$B165,Assumptions!$D$135:$D$155,"Annual"),0)),"")</f>
        <v>0</v>
      </c>
      <c r="W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forecast'!W$5))*(INDEX(Assumptions!$C$135:$C$155,MATCH('Cash flow forecast'!$B165,Assumptions!$A$135:$A$155,0))),IF(OR('Cash flow forecast'!W$5=INDEX(Assumptions!$E$135:$E$155,MATCH('Cash flow forecast'!$B165,Assumptions!$A$135:$A$155,0)),'Cash flow forecast'!W$5=INDEX(Assumptions!$F$135:$F$155,MATCH('Cash flow forecast'!$B165,Assumptions!$A$135:$A$155,0))),SUMIFS(Assumptions!$B$135:$B$155,Assumptions!$A$135:$A$155,'Cash flow forecast'!$B165,Assumptions!$D$135:$D$155,"Annual"),0)),"")</f>
        <v>0</v>
      </c>
      <c r="X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forecast'!X$5))*(INDEX(Assumptions!$C$135:$C$155,MATCH('Cash flow forecast'!$B165,Assumptions!$A$135:$A$155,0))),IF(OR('Cash flow forecast'!X$5=INDEX(Assumptions!$E$135:$E$155,MATCH('Cash flow forecast'!$B165,Assumptions!$A$135:$A$155,0)),'Cash flow forecast'!X$5=INDEX(Assumptions!$F$135:$F$155,MATCH('Cash flow forecast'!$B165,Assumptions!$A$135:$A$155,0))),SUMIFS(Assumptions!$B$135:$B$155,Assumptions!$A$135:$A$155,'Cash flow forecast'!$B165,Assumptions!$D$135:$D$155,"Annual"),0)),"")</f>
        <v>0</v>
      </c>
      <c r="Y165" s="222">
        <f>IFERROR(IF(INDEX(Assumptions!$D$135:$D$155,MATCH('Cash flow forecast'!$B165,Assumptions!$A$135:$A$155,0))="Monthly",(SUMIFS(Assumptions!$B$135:$B$155,Assumptions!$A$135:$A$155,'Cash flow forecast'!$B165,Assumptions!$E$135:$E$155,"&lt;="&amp;'Cash flow forecast'!Y$5))*(INDEX(Assumptions!$C$135:$C$155,MATCH('Cash flow forecast'!$B165,Assumptions!$A$135:$A$155,0))),IF(OR('Cash flow forecast'!Y$5=INDEX(Assumptions!$E$135:$E$155,MATCH('Cash flow forecast'!$B165,Assumptions!$A$135:$A$155,0)),'Cash flow forecast'!Y$5=INDEX(Assumptions!$F$135:$F$155,MATCH('Cash flow forecast'!$B165,Assumptions!$A$135:$A$155,0))),SUMIFS(Assumptions!$B$135:$B$155,Assumptions!$A$135:$A$155,'Cash flow forecast'!$B165,Assumptions!$D$135:$D$155,"Annual"),0)),"")</f>
        <v>0</v>
      </c>
      <c r="Z165" s="223">
        <f>IFERROR(IF(INDEX(Assumptions!$D$135:$D$155,MATCH('Cash flow forecast'!$B165,Assumptions!$A$135:$A$155,0))="Monthly",(SUMIFS(Assumptions!$B$135:$B$155,Assumptions!$A$135:$A$155,'Cash flow forecast'!$B165,Assumptions!$E$135:$E$155,"&lt;="&amp;'Cash flow forecast'!Z$5))*(INDEX(Assumptions!$C$135:$C$155,MATCH('Cash flow forecast'!$B165,Assumptions!$A$135:$A$155,0))),IF(OR('Cash flow forecast'!Z$5=INDEX(Assumptions!$E$135:$E$155,MATCH('Cash flow forecast'!$B165,Assumptions!$A$135:$A$155,0)),'Cash flow forecast'!Z$5=INDEX(Assumptions!$F$135:$F$155,MATCH('Cash flow forecast'!$B165,Assumptions!$A$135:$A$155,0))),SUMIFS(Assumptions!$B$135:$B$155,Assumptions!$A$135:$A$155,'Cash flow forecast'!$B165,Assumptions!$D$135:$D$155,"Annual"),0)),"")</f>
        <v>0</v>
      </c>
      <c r="AA165" s="221">
        <f t="shared" si="172"/>
        <v>68</v>
      </c>
      <c r="AB165" s="224">
        <f t="shared" si="172"/>
        <v>0</v>
      </c>
      <c r="AC165" s="224">
        <f t="shared" si="172"/>
        <v>0</v>
      </c>
      <c r="AD165" s="224">
        <f t="shared" si="172"/>
        <v>0</v>
      </c>
      <c r="AE165" s="225">
        <f t="shared" si="173"/>
        <v>68</v>
      </c>
      <c r="AF165" s="221">
        <f t="shared" si="176"/>
        <v>68</v>
      </c>
      <c r="AG165" s="224">
        <f t="shared" si="174"/>
        <v>0</v>
      </c>
      <c r="AH165" s="224">
        <f t="shared" si="174"/>
        <v>0</v>
      </c>
      <c r="AI165" s="223">
        <f t="shared" si="174"/>
        <v>0</v>
      </c>
      <c r="AJ165" s="225">
        <f t="shared" si="177"/>
        <v>68</v>
      </c>
      <c r="AK165" s="243">
        <f t="shared" si="175"/>
        <v>1.3302725414127863E-4</v>
      </c>
    </row>
    <row r="166" spans="2:37" ht="22.15" hidden="1" customHeight="1" outlineLevel="1" x14ac:dyDescent="0.25">
      <c r="B166" s="91" t="str">
        <f>IF(Assumptions!$A143="","",Assumptions!$A143)</f>
        <v>Test 9</v>
      </c>
      <c r="C166" s="221">
        <f>IFERROR(IF(INDEX(Assumptions!$D$135:$D$155,MATCH('Cash flow forecast'!$B166,Assumptions!$A$135:$A$155,0))="Monthly",(SUMIFS(Assumptions!$B$135:$B$155,Assumptions!$A$135:$A$155,'Cash flow forecast'!$B166,Assumptions!$E$135:$E$155,"&lt;="&amp;'Cash flow forecast'!C$5))*(INDEX(Assumptions!$C$135:$C$155,MATCH('Cash flow forecast'!$B166,Assumptions!$A$135:$A$155,0))),IF(OR('Cash flow forecast'!C$5=INDEX(Assumptions!$E$135:$E$155,MATCH('Cash flow forecast'!$B166,Assumptions!$A$135:$A$155,0)),'Cash flow forecast'!C$5=INDEX(Assumptions!$F$135:$F$155,MATCH('Cash flow forecast'!$B166,Assumptions!$A$135:$A$155,0))),SUMIFS(Assumptions!$B$135:$B$155,Assumptions!$A$135:$A$155,'Cash flow forecast'!$B166,Assumptions!$D$135:$D$155,"Annual"),0)),"")</f>
        <v>273.68</v>
      </c>
      <c r="D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forecast'!D$5))*(INDEX(Assumptions!$C$135:$C$155,MATCH('Cash flow forecast'!$B166,Assumptions!$A$135:$A$155,0))),IF(OR('Cash flow forecast'!D$5=INDEX(Assumptions!$E$135:$E$155,MATCH('Cash flow forecast'!$B166,Assumptions!$A$135:$A$155,0)),'Cash flow forecast'!D$5=INDEX(Assumptions!$F$135:$F$155,MATCH('Cash flow forecast'!$B166,Assumptions!$A$135:$A$155,0))),SUMIFS(Assumptions!$B$135:$B$155,Assumptions!$A$135:$A$155,'Cash flow forecast'!$B166,Assumptions!$D$135:$D$155,"Annual"),0)),"")</f>
        <v>273.68</v>
      </c>
      <c r="E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forecast'!E$5))*(INDEX(Assumptions!$C$135:$C$155,MATCH('Cash flow forecast'!$B166,Assumptions!$A$135:$A$155,0))),IF(OR('Cash flow forecast'!E$5=INDEX(Assumptions!$E$135:$E$155,MATCH('Cash flow forecast'!$B166,Assumptions!$A$135:$A$155,0)),'Cash flow forecast'!E$5=INDEX(Assumptions!$F$135:$F$155,MATCH('Cash flow forecast'!$B166,Assumptions!$A$135:$A$155,0))),SUMIFS(Assumptions!$B$135:$B$155,Assumptions!$A$135:$A$155,'Cash flow forecast'!$B166,Assumptions!$D$135:$D$155,"Annual"),0)),"")</f>
        <v>273.68</v>
      </c>
      <c r="F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forecast'!F$5))*(INDEX(Assumptions!$C$135:$C$155,MATCH('Cash flow forecast'!$B166,Assumptions!$A$135:$A$155,0))),IF(OR('Cash flow forecast'!F$5=INDEX(Assumptions!$E$135:$E$155,MATCH('Cash flow forecast'!$B166,Assumptions!$A$135:$A$155,0)),'Cash flow forecast'!F$5=INDEX(Assumptions!$F$135:$F$155,MATCH('Cash flow forecast'!$B166,Assumptions!$A$135:$A$155,0))),SUMIFS(Assumptions!$B$135:$B$155,Assumptions!$A$135:$A$155,'Cash flow forecast'!$B166,Assumptions!$D$135:$D$155,"Annual"),0)),"")</f>
        <v>273.68</v>
      </c>
      <c r="G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forecast'!G$5))*(INDEX(Assumptions!$C$135:$C$155,MATCH('Cash flow forecast'!$B166,Assumptions!$A$135:$A$155,0))),IF(OR('Cash flow forecast'!G$5=INDEX(Assumptions!$E$135:$E$155,MATCH('Cash flow forecast'!$B166,Assumptions!$A$135:$A$155,0)),'Cash flow forecast'!G$5=INDEX(Assumptions!$F$135:$F$155,MATCH('Cash flow forecast'!$B166,Assumptions!$A$135:$A$155,0))),SUMIFS(Assumptions!$B$135:$B$155,Assumptions!$A$135:$A$155,'Cash flow forecast'!$B166,Assumptions!$D$135:$D$155,"Annual"),0)),"")</f>
        <v>273.68</v>
      </c>
      <c r="H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forecast'!H$5))*(INDEX(Assumptions!$C$135:$C$155,MATCH('Cash flow forecast'!$B166,Assumptions!$A$135:$A$155,0))),IF(OR('Cash flow forecast'!H$5=INDEX(Assumptions!$E$135:$E$155,MATCH('Cash flow forecast'!$B166,Assumptions!$A$135:$A$155,0)),'Cash flow forecast'!H$5=INDEX(Assumptions!$F$135:$F$155,MATCH('Cash flow forecast'!$B166,Assumptions!$A$135:$A$155,0))),SUMIFS(Assumptions!$B$135:$B$155,Assumptions!$A$135:$A$155,'Cash flow forecast'!$B166,Assumptions!$D$135:$D$155,"Annual"),0)),"")</f>
        <v>273.68</v>
      </c>
      <c r="I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forecast'!I$5))*(INDEX(Assumptions!$C$135:$C$155,MATCH('Cash flow forecast'!$B166,Assumptions!$A$135:$A$155,0))),IF(OR('Cash flow forecast'!I$5=INDEX(Assumptions!$E$135:$E$155,MATCH('Cash flow forecast'!$B166,Assumptions!$A$135:$A$155,0)),'Cash flow forecast'!I$5=INDEX(Assumptions!$F$135:$F$155,MATCH('Cash flow forecast'!$B166,Assumptions!$A$135:$A$155,0))),SUMIFS(Assumptions!$B$135:$B$155,Assumptions!$A$135:$A$155,'Cash flow forecast'!$B166,Assumptions!$D$135:$D$155,"Annual"),0)),"")</f>
        <v>273.68</v>
      </c>
      <c r="J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forecast'!J$5))*(INDEX(Assumptions!$C$135:$C$155,MATCH('Cash flow forecast'!$B166,Assumptions!$A$135:$A$155,0))),IF(OR('Cash flow forecast'!J$5=INDEX(Assumptions!$E$135:$E$155,MATCH('Cash flow forecast'!$B166,Assumptions!$A$135:$A$155,0)),'Cash flow forecast'!J$5=INDEX(Assumptions!$F$135:$F$155,MATCH('Cash flow forecast'!$B166,Assumptions!$A$135:$A$155,0))),SUMIFS(Assumptions!$B$135:$B$155,Assumptions!$A$135:$A$155,'Cash flow forecast'!$B166,Assumptions!$D$135:$D$155,"Annual"),0)),"")</f>
        <v>273.68</v>
      </c>
      <c r="K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forecast'!K$5))*(INDEX(Assumptions!$C$135:$C$155,MATCH('Cash flow forecast'!$B166,Assumptions!$A$135:$A$155,0))),IF(OR('Cash flow forecast'!K$5=INDEX(Assumptions!$E$135:$E$155,MATCH('Cash flow forecast'!$B166,Assumptions!$A$135:$A$155,0)),'Cash flow forecast'!K$5=INDEX(Assumptions!$F$135:$F$155,MATCH('Cash flow forecast'!$B166,Assumptions!$A$135:$A$155,0))),SUMIFS(Assumptions!$B$135:$B$155,Assumptions!$A$135:$A$155,'Cash flow forecast'!$B166,Assumptions!$D$135:$D$155,"Annual"),0)),"")</f>
        <v>273.68</v>
      </c>
      <c r="L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forecast'!L$5))*(INDEX(Assumptions!$C$135:$C$155,MATCH('Cash flow forecast'!$B166,Assumptions!$A$135:$A$155,0))),IF(OR('Cash flow forecast'!L$5=INDEX(Assumptions!$E$135:$E$155,MATCH('Cash flow forecast'!$B166,Assumptions!$A$135:$A$155,0)),'Cash flow forecast'!L$5=INDEX(Assumptions!$F$135:$F$155,MATCH('Cash flow forecast'!$B166,Assumptions!$A$135:$A$155,0))),SUMIFS(Assumptions!$B$135:$B$155,Assumptions!$A$135:$A$155,'Cash flow forecast'!$B166,Assumptions!$D$135:$D$155,"Annual"),0)),"")</f>
        <v>273.68</v>
      </c>
      <c r="M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forecast'!M$5))*(INDEX(Assumptions!$C$135:$C$155,MATCH('Cash flow forecast'!$B166,Assumptions!$A$135:$A$155,0))),IF(OR('Cash flow forecast'!M$5=INDEX(Assumptions!$E$135:$E$155,MATCH('Cash flow forecast'!$B166,Assumptions!$A$135:$A$155,0)),'Cash flow forecast'!M$5=INDEX(Assumptions!$F$135:$F$155,MATCH('Cash flow forecast'!$B166,Assumptions!$A$135:$A$155,0))),SUMIFS(Assumptions!$B$135:$B$155,Assumptions!$A$135:$A$155,'Cash flow forecast'!$B166,Assumptions!$D$135:$D$155,"Annual"),0)),"")</f>
        <v>273.68</v>
      </c>
      <c r="N166" s="223">
        <f>IFERROR(IF(INDEX(Assumptions!$D$135:$D$155,MATCH('Cash flow forecast'!$B166,Assumptions!$A$135:$A$155,0))="Monthly",(SUMIFS(Assumptions!$B$135:$B$155,Assumptions!$A$135:$A$155,'Cash flow forecast'!$B166,Assumptions!$E$135:$E$155,"&lt;="&amp;'Cash flow forecast'!N$5))*(INDEX(Assumptions!$C$135:$C$155,MATCH('Cash flow forecast'!$B166,Assumptions!$A$135:$A$155,0))),IF(OR('Cash flow forecast'!N$5=INDEX(Assumptions!$E$135:$E$155,MATCH('Cash flow forecast'!$B166,Assumptions!$A$135:$A$155,0)),'Cash flow forecast'!N$5=INDEX(Assumptions!$F$135:$F$155,MATCH('Cash flow forecast'!$B166,Assumptions!$A$135:$A$155,0))),SUMIFS(Assumptions!$B$135:$B$155,Assumptions!$A$135:$A$155,'Cash flow forecast'!$B166,Assumptions!$D$135:$D$155,"Annual"),0)),"")</f>
        <v>273.68</v>
      </c>
      <c r="O166" s="221">
        <f>IFERROR(IF(INDEX(Assumptions!$D$135:$D$155,MATCH('Cash flow forecast'!$B166,Assumptions!$A$135:$A$155,0))="Monthly",(SUMIFS(Assumptions!$B$135:$B$155,Assumptions!$A$135:$A$155,'Cash flow forecast'!$B166,Assumptions!$E$135:$E$155,"&lt;="&amp;'Cash flow forecast'!O$5))*(INDEX(Assumptions!$C$135:$C$155,MATCH('Cash flow forecast'!$B166,Assumptions!$A$135:$A$155,0))),IF(OR('Cash flow forecast'!O$5=INDEX(Assumptions!$E$135:$E$155,MATCH('Cash flow forecast'!$B166,Assumptions!$A$135:$A$155,0)),'Cash flow forecast'!O$5=INDEX(Assumptions!$F$135:$F$155,MATCH('Cash flow forecast'!$B166,Assumptions!$A$135:$A$155,0))),SUMIFS(Assumptions!$B$135:$B$155,Assumptions!$A$135:$A$155,'Cash flow forecast'!$B166,Assumptions!$D$135:$D$155,"Annual"),0)),"")</f>
        <v>273.68</v>
      </c>
      <c r="P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forecast'!P$5))*(INDEX(Assumptions!$C$135:$C$155,MATCH('Cash flow forecast'!$B166,Assumptions!$A$135:$A$155,0))),IF(OR('Cash flow forecast'!P$5=INDEX(Assumptions!$E$135:$E$155,MATCH('Cash flow forecast'!$B166,Assumptions!$A$135:$A$155,0)),'Cash flow forecast'!P$5=INDEX(Assumptions!$F$135:$F$155,MATCH('Cash flow forecast'!$B166,Assumptions!$A$135:$A$155,0))),SUMIFS(Assumptions!$B$135:$B$155,Assumptions!$A$135:$A$155,'Cash flow forecast'!$B166,Assumptions!$D$135:$D$155,"Annual"),0)),"")</f>
        <v>273.68</v>
      </c>
      <c r="Q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forecast'!Q$5))*(INDEX(Assumptions!$C$135:$C$155,MATCH('Cash flow forecast'!$B166,Assumptions!$A$135:$A$155,0))),IF(OR('Cash flow forecast'!Q$5=INDEX(Assumptions!$E$135:$E$155,MATCH('Cash flow forecast'!$B166,Assumptions!$A$135:$A$155,0)),'Cash flow forecast'!Q$5=INDEX(Assumptions!$F$135:$F$155,MATCH('Cash flow forecast'!$B166,Assumptions!$A$135:$A$155,0))),SUMIFS(Assumptions!$B$135:$B$155,Assumptions!$A$135:$A$155,'Cash flow forecast'!$B166,Assumptions!$D$135:$D$155,"Annual"),0)),"")</f>
        <v>273.68</v>
      </c>
      <c r="R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forecast'!R$5))*(INDEX(Assumptions!$C$135:$C$155,MATCH('Cash flow forecast'!$B166,Assumptions!$A$135:$A$155,0))),IF(OR('Cash flow forecast'!R$5=INDEX(Assumptions!$E$135:$E$155,MATCH('Cash flow forecast'!$B166,Assumptions!$A$135:$A$155,0)),'Cash flow forecast'!R$5=INDEX(Assumptions!$F$135:$F$155,MATCH('Cash flow forecast'!$B166,Assumptions!$A$135:$A$155,0))),SUMIFS(Assumptions!$B$135:$B$155,Assumptions!$A$135:$A$155,'Cash flow forecast'!$B166,Assumptions!$D$135:$D$155,"Annual"),0)),"")</f>
        <v>273.68</v>
      </c>
      <c r="S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forecast'!S$5))*(INDEX(Assumptions!$C$135:$C$155,MATCH('Cash flow forecast'!$B166,Assumptions!$A$135:$A$155,0))),IF(OR('Cash flow forecast'!S$5=INDEX(Assumptions!$E$135:$E$155,MATCH('Cash flow forecast'!$B166,Assumptions!$A$135:$A$155,0)),'Cash flow forecast'!S$5=INDEX(Assumptions!$F$135:$F$155,MATCH('Cash flow forecast'!$B166,Assumptions!$A$135:$A$155,0))),SUMIFS(Assumptions!$B$135:$B$155,Assumptions!$A$135:$A$155,'Cash flow forecast'!$B166,Assumptions!$D$135:$D$155,"Annual"),0)),"")</f>
        <v>273.68</v>
      </c>
      <c r="T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forecast'!T$5))*(INDEX(Assumptions!$C$135:$C$155,MATCH('Cash flow forecast'!$B166,Assumptions!$A$135:$A$155,0))),IF(OR('Cash flow forecast'!T$5=INDEX(Assumptions!$E$135:$E$155,MATCH('Cash flow forecast'!$B166,Assumptions!$A$135:$A$155,0)),'Cash flow forecast'!T$5=INDEX(Assumptions!$F$135:$F$155,MATCH('Cash flow forecast'!$B166,Assumptions!$A$135:$A$155,0))),SUMIFS(Assumptions!$B$135:$B$155,Assumptions!$A$135:$A$155,'Cash flow forecast'!$B166,Assumptions!$D$135:$D$155,"Annual"),0)),"")</f>
        <v>273.68</v>
      </c>
      <c r="U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forecast'!U$5))*(INDEX(Assumptions!$C$135:$C$155,MATCH('Cash flow forecast'!$B166,Assumptions!$A$135:$A$155,0))),IF(OR('Cash flow forecast'!U$5=INDEX(Assumptions!$E$135:$E$155,MATCH('Cash flow forecast'!$B166,Assumptions!$A$135:$A$155,0)),'Cash flow forecast'!U$5=INDEX(Assumptions!$F$135:$F$155,MATCH('Cash flow forecast'!$B166,Assumptions!$A$135:$A$155,0))),SUMIFS(Assumptions!$B$135:$B$155,Assumptions!$A$135:$A$155,'Cash flow forecast'!$B166,Assumptions!$D$135:$D$155,"Annual"),0)),"")</f>
        <v>273.68</v>
      </c>
      <c r="V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forecast'!V$5))*(INDEX(Assumptions!$C$135:$C$155,MATCH('Cash flow forecast'!$B166,Assumptions!$A$135:$A$155,0))),IF(OR('Cash flow forecast'!V$5=INDEX(Assumptions!$E$135:$E$155,MATCH('Cash flow forecast'!$B166,Assumptions!$A$135:$A$155,0)),'Cash flow forecast'!V$5=INDEX(Assumptions!$F$135:$F$155,MATCH('Cash flow forecast'!$B166,Assumptions!$A$135:$A$155,0))),SUMIFS(Assumptions!$B$135:$B$155,Assumptions!$A$135:$A$155,'Cash flow forecast'!$B166,Assumptions!$D$135:$D$155,"Annual"),0)),"")</f>
        <v>273.68</v>
      </c>
      <c r="W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forecast'!W$5))*(INDEX(Assumptions!$C$135:$C$155,MATCH('Cash flow forecast'!$B166,Assumptions!$A$135:$A$155,0))),IF(OR('Cash flow forecast'!W$5=INDEX(Assumptions!$E$135:$E$155,MATCH('Cash flow forecast'!$B166,Assumptions!$A$135:$A$155,0)),'Cash flow forecast'!W$5=INDEX(Assumptions!$F$135:$F$155,MATCH('Cash flow forecast'!$B166,Assumptions!$A$135:$A$155,0))),SUMIFS(Assumptions!$B$135:$B$155,Assumptions!$A$135:$A$155,'Cash flow forecast'!$B166,Assumptions!$D$135:$D$155,"Annual"),0)),"")</f>
        <v>273.68</v>
      </c>
      <c r="X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forecast'!X$5))*(INDEX(Assumptions!$C$135:$C$155,MATCH('Cash flow forecast'!$B166,Assumptions!$A$135:$A$155,0))),IF(OR('Cash flow forecast'!X$5=INDEX(Assumptions!$E$135:$E$155,MATCH('Cash flow forecast'!$B166,Assumptions!$A$135:$A$155,0)),'Cash flow forecast'!X$5=INDEX(Assumptions!$F$135:$F$155,MATCH('Cash flow forecast'!$B166,Assumptions!$A$135:$A$155,0))),SUMIFS(Assumptions!$B$135:$B$155,Assumptions!$A$135:$A$155,'Cash flow forecast'!$B166,Assumptions!$D$135:$D$155,"Annual"),0)),"")</f>
        <v>273.68</v>
      </c>
      <c r="Y166" s="222">
        <f>IFERROR(IF(INDEX(Assumptions!$D$135:$D$155,MATCH('Cash flow forecast'!$B166,Assumptions!$A$135:$A$155,0))="Monthly",(SUMIFS(Assumptions!$B$135:$B$155,Assumptions!$A$135:$A$155,'Cash flow forecast'!$B166,Assumptions!$E$135:$E$155,"&lt;="&amp;'Cash flow forecast'!Y$5))*(INDEX(Assumptions!$C$135:$C$155,MATCH('Cash flow forecast'!$B166,Assumptions!$A$135:$A$155,0))),IF(OR('Cash flow forecast'!Y$5=INDEX(Assumptions!$E$135:$E$155,MATCH('Cash flow forecast'!$B166,Assumptions!$A$135:$A$155,0)),'Cash flow forecast'!Y$5=INDEX(Assumptions!$F$135:$F$155,MATCH('Cash flow forecast'!$B166,Assumptions!$A$135:$A$155,0))),SUMIFS(Assumptions!$B$135:$B$155,Assumptions!$A$135:$A$155,'Cash flow forecast'!$B166,Assumptions!$D$135:$D$155,"Annual"),0)),"")</f>
        <v>273.68</v>
      </c>
      <c r="Z166" s="223">
        <f>IFERROR(IF(INDEX(Assumptions!$D$135:$D$155,MATCH('Cash flow forecast'!$B166,Assumptions!$A$135:$A$155,0))="Monthly",(SUMIFS(Assumptions!$B$135:$B$155,Assumptions!$A$135:$A$155,'Cash flow forecast'!$B166,Assumptions!$E$135:$E$155,"&lt;="&amp;'Cash flow forecast'!Z$5))*(INDEX(Assumptions!$C$135:$C$155,MATCH('Cash flow forecast'!$B166,Assumptions!$A$135:$A$155,0))),IF(OR('Cash flow forecast'!Z$5=INDEX(Assumptions!$E$135:$E$155,MATCH('Cash flow forecast'!$B166,Assumptions!$A$135:$A$155,0)),'Cash flow forecast'!Z$5=INDEX(Assumptions!$F$135:$F$155,MATCH('Cash flow forecast'!$B166,Assumptions!$A$135:$A$155,0))),SUMIFS(Assumptions!$B$135:$B$155,Assumptions!$A$135:$A$155,'Cash flow forecast'!$B166,Assumptions!$D$135:$D$155,"Annual"),0)),"")</f>
        <v>273.68</v>
      </c>
      <c r="AA166" s="221">
        <f t="shared" si="172"/>
        <v>821.04</v>
      </c>
      <c r="AB166" s="224">
        <f t="shared" si="172"/>
        <v>821.04</v>
      </c>
      <c r="AC166" s="224">
        <f t="shared" si="172"/>
        <v>821.04</v>
      </c>
      <c r="AD166" s="224">
        <f t="shared" si="172"/>
        <v>821.04</v>
      </c>
      <c r="AE166" s="225">
        <f t="shared" si="173"/>
        <v>3284.1599999999994</v>
      </c>
      <c r="AF166" s="221">
        <f t="shared" si="176"/>
        <v>821.04</v>
      </c>
      <c r="AG166" s="224">
        <f t="shared" si="174"/>
        <v>821.04</v>
      </c>
      <c r="AH166" s="224">
        <f t="shared" si="174"/>
        <v>821.04</v>
      </c>
      <c r="AI166" s="223">
        <f t="shared" si="174"/>
        <v>821.04</v>
      </c>
      <c r="AJ166" s="225">
        <f t="shared" si="177"/>
        <v>3284.1599999999994</v>
      </c>
      <c r="AK166" s="243">
        <f t="shared" si="175"/>
        <v>6.4247468670679637E-3</v>
      </c>
    </row>
    <row r="167" spans="2:37" ht="22.15" hidden="1" customHeight="1" outlineLevel="1" x14ac:dyDescent="0.25">
      <c r="B167" s="91" t="str">
        <f>IF(Assumptions!$A144="","",Assumptions!$A144)</f>
        <v>Test 10</v>
      </c>
      <c r="C167" s="221">
        <f>IFERROR(IF(INDEX(Assumptions!$D$135:$D$155,MATCH('Cash flow forecast'!$B167,Assumptions!$A$135:$A$155,0))="Monthly",(SUMIFS(Assumptions!$B$135:$B$155,Assumptions!$A$135:$A$155,'Cash flow forecast'!$B167,Assumptions!$E$135:$E$155,"&lt;="&amp;'Cash flow forecast'!C$5))*(INDEX(Assumptions!$C$135:$C$155,MATCH('Cash flow forecast'!$B167,Assumptions!$A$135:$A$155,0))),IF(OR('Cash flow forecast'!C$5=INDEX(Assumptions!$E$135:$E$155,MATCH('Cash flow forecast'!$B167,Assumptions!$A$135:$A$155,0)),'Cash flow forecast'!C$5=INDEX(Assumptions!$F$135:$F$155,MATCH('Cash flow forecast'!$B167,Assumptions!$A$135:$A$155,0))),SUMIFS(Assumptions!$B$135:$B$155,Assumptions!$A$135:$A$155,'Cash flow forecast'!$B167,Assumptions!$D$135:$D$155,"Annual"),0)),"")</f>
        <v>43.75</v>
      </c>
      <c r="D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forecast'!D$5))*(INDEX(Assumptions!$C$135:$C$155,MATCH('Cash flow forecast'!$B167,Assumptions!$A$135:$A$155,0))),IF(OR('Cash flow forecast'!D$5=INDEX(Assumptions!$E$135:$E$155,MATCH('Cash flow forecast'!$B167,Assumptions!$A$135:$A$155,0)),'Cash flow forecast'!D$5=INDEX(Assumptions!$F$135:$F$155,MATCH('Cash flow forecast'!$B167,Assumptions!$A$135:$A$155,0))),SUMIFS(Assumptions!$B$135:$B$155,Assumptions!$A$135:$A$155,'Cash flow forecast'!$B167,Assumptions!$D$135:$D$155,"Annual"),0)),"")</f>
        <v>43.75</v>
      </c>
      <c r="E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forecast'!E$5))*(INDEX(Assumptions!$C$135:$C$155,MATCH('Cash flow forecast'!$B167,Assumptions!$A$135:$A$155,0))),IF(OR('Cash flow forecast'!E$5=INDEX(Assumptions!$E$135:$E$155,MATCH('Cash flow forecast'!$B167,Assumptions!$A$135:$A$155,0)),'Cash flow forecast'!E$5=INDEX(Assumptions!$F$135:$F$155,MATCH('Cash flow forecast'!$B167,Assumptions!$A$135:$A$155,0))),SUMIFS(Assumptions!$B$135:$B$155,Assumptions!$A$135:$A$155,'Cash flow forecast'!$B167,Assumptions!$D$135:$D$155,"Annual"),0)),"")</f>
        <v>43.75</v>
      </c>
      <c r="F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forecast'!F$5))*(INDEX(Assumptions!$C$135:$C$155,MATCH('Cash flow forecast'!$B167,Assumptions!$A$135:$A$155,0))),IF(OR('Cash flow forecast'!F$5=INDEX(Assumptions!$E$135:$E$155,MATCH('Cash flow forecast'!$B167,Assumptions!$A$135:$A$155,0)),'Cash flow forecast'!F$5=INDEX(Assumptions!$F$135:$F$155,MATCH('Cash flow forecast'!$B167,Assumptions!$A$135:$A$155,0))),SUMIFS(Assumptions!$B$135:$B$155,Assumptions!$A$135:$A$155,'Cash flow forecast'!$B167,Assumptions!$D$135:$D$155,"Annual"),0)),"")</f>
        <v>43.75</v>
      </c>
      <c r="G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forecast'!G$5))*(INDEX(Assumptions!$C$135:$C$155,MATCH('Cash flow forecast'!$B167,Assumptions!$A$135:$A$155,0))),IF(OR('Cash flow forecast'!G$5=INDEX(Assumptions!$E$135:$E$155,MATCH('Cash flow forecast'!$B167,Assumptions!$A$135:$A$155,0)),'Cash flow forecast'!G$5=INDEX(Assumptions!$F$135:$F$155,MATCH('Cash flow forecast'!$B167,Assumptions!$A$135:$A$155,0))),SUMIFS(Assumptions!$B$135:$B$155,Assumptions!$A$135:$A$155,'Cash flow forecast'!$B167,Assumptions!$D$135:$D$155,"Annual"),0)),"")</f>
        <v>43.75</v>
      </c>
      <c r="H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forecast'!H$5))*(INDEX(Assumptions!$C$135:$C$155,MATCH('Cash flow forecast'!$B167,Assumptions!$A$135:$A$155,0))),IF(OR('Cash flow forecast'!H$5=INDEX(Assumptions!$E$135:$E$155,MATCH('Cash flow forecast'!$B167,Assumptions!$A$135:$A$155,0)),'Cash flow forecast'!H$5=INDEX(Assumptions!$F$135:$F$155,MATCH('Cash flow forecast'!$B167,Assumptions!$A$135:$A$155,0))),SUMIFS(Assumptions!$B$135:$B$155,Assumptions!$A$135:$A$155,'Cash flow forecast'!$B167,Assumptions!$D$135:$D$155,"Annual"),0)),"")</f>
        <v>43.75</v>
      </c>
      <c r="I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forecast'!I$5))*(INDEX(Assumptions!$C$135:$C$155,MATCH('Cash flow forecast'!$B167,Assumptions!$A$135:$A$155,0))),IF(OR('Cash flow forecast'!I$5=INDEX(Assumptions!$E$135:$E$155,MATCH('Cash flow forecast'!$B167,Assumptions!$A$135:$A$155,0)),'Cash flow forecast'!I$5=INDEX(Assumptions!$F$135:$F$155,MATCH('Cash flow forecast'!$B167,Assumptions!$A$135:$A$155,0))),SUMIFS(Assumptions!$B$135:$B$155,Assumptions!$A$135:$A$155,'Cash flow forecast'!$B167,Assumptions!$D$135:$D$155,"Annual"),0)),"")</f>
        <v>43.75</v>
      </c>
      <c r="J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forecast'!J$5))*(INDEX(Assumptions!$C$135:$C$155,MATCH('Cash flow forecast'!$B167,Assumptions!$A$135:$A$155,0))),IF(OR('Cash flow forecast'!J$5=INDEX(Assumptions!$E$135:$E$155,MATCH('Cash flow forecast'!$B167,Assumptions!$A$135:$A$155,0)),'Cash flow forecast'!J$5=INDEX(Assumptions!$F$135:$F$155,MATCH('Cash flow forecast'!$B167,Assumptions!$A$135:$A$155,0))),SUMIFS(Assumptions!$B$135:$B$155,Assumptions!$A$135:$A$155,'Cash flow forecast'!$B167,Assumptions!$D$135:$D$155,"Annual"),0)),"")</f>
        <v>43.75</v>
      </c>
      <c r="K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forecast'!K$5))*(INDEX(Assumptions!$C$135:$C$155,MATCH('Cash flow forecast'!$B167,Assumptions!$A$135:$A$155,0))),IF(OR('Cash flow forecast'!K$5=INDEX(Assumptions!$E$135:$E$155,MATCH('Cash flow forecast'!$B167,Assumptions!$A$135:$A$155,0)),'Cash flow forecast'!K$5=INDEX(Assumptions!$F$135:$F$155,MATCH('Cash flow forecast'!$B167,Assumptions!$A$135:$A$155,0))),SUMIFS(Assumptions!$B$135:$B$155,Assumptions!$A$135:$A$155,'Cash flow forecast'!$B167,Assumptions!$D$135:$D$155,"Annual"),0)),"")</f>
        <v>43.75</v>
      </c>
      <c r="L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forecast'!L$5))*(INDEX(Assumptions!$C$135:$C$155,MATCH('Cash flow forecast'!$B167,Assumptions!$A$135:$A$155,0))),IF(OR('Cash flow forecast'!L$5=INDEX(Assumptions!$E$135:$E$155,MATCH('Cash flow forecast'!$B167,Assumptions!$A$135:$A$155,0)),'Cash flow forecast'!L$5=INDEX(Assumptions!$F$135:$F$155,MATCH('Cash flow forecast'!$B167,Assumptions!$A$135:$A$155,0))),SUMIFS(Assumptions!$B$135:$B$155,Assumptions!$A$135:$A$155,'Cash flow forecast'!$B167,Assumptions!$D$135:$D$155,"Annual"),0)),"")</f>
        <v>43.75</v>
      </c>
      <c r="M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forecast'!M$5))*(INDEX(Assumptions!$C$135:$C$155,MATCH('Cash flow forecast'!$B167,Assumptions!$A$135:$A$155,0))),IF(OR('Cash flow forecast'!M$5=INDEX(Assumptions!$E$135:$E$155,MATCH('Cash flow forecast'!$B167,Assumptions!$A$135:$A$155,0)),'Cash flow forecast'!M$5=INDEX(Assumptions!$F$135:$F$155,MATCH('Cash flow forecast'!$B167,Assumptions!$A$135:$A$155,0))),SUMIFS(Assumptions!$B$135:$B$155,Assumptions!$A$135:$A$155,'Cash flow forecast'!$B167,Assumptions!$D$135:$D$155,"Annual"),0)),"")</f>
        <v>43.75</v>
      </c>
      <c r="N167" s="223">
        <f>IFERROR(IF(INDEX(Assumptions!$D$135:$D$155,MATCH('Cash flow forecast'!$B167,Assumptions!$A$135:$A$155,0))="Monthly",(SUMIFS(Assumptions!$B$135:$B$155,Assumptions!$A$135:$A$155,'Cash flow forecast'!$B167,Assumptions!$E$135:$E$155,"&lt;="&amp;'Cash flow forecast'!N$5))*(INDEX(Assumptions!$C$135:$C$155,MATCH('Cash flow forecast'!$B167,Assumptions!$A$135:$A$155,0))),IF(OR('Cash flow forecast'!N$5=INDEX(Assumptions!$E$135:$E$155,MATCH('Cash flow forecast'!$B167,Assumptions!$A$135:$A$155,0)),'Cash flow forecast'!N$5=INDEX(Assumptions!$F$135:$F$155,MATCH('Cash flow forecast'!$B167,Assumptions!$A$135:$A$155,0))),SUMIFS(Assumptions!$B$135:$B$155,Assumptions!$A$135:$A$155,'Cash flow forecast'!$B167,Assumptions!$D$135:$D$155,"Annual"),0)),"")</f>
        <v>43.75</v>
      </c>
      <c r="O167" s="221">
        <f>IFERROR(IF(INDEX(Assumptions!$D$135:$D$155,MATCH('Cash flow forecast'!$B167,Assumptions!$A$135:$A$155,0))="Monthly",(SUMIFS(Assumptions!$B$135:$B$155,Assumptions!$A$135:$A$155,'Cash flow forecast'!$B167,Assumptions!$E$135:$E$155,"&lt;="&amp;'Cash flow forecast'!O$5))*(INDEX(Assumptions!$C$135:$C$155,MATCH('Cash flow forecast'!$B167,Assumptions!$A$135:$A$155,0))),IF(OR('Cash flow forecast'!O$5=INDEX(Assumptions!$E$135:$E$155,MATCH('Cash flow forecast'!$B167,Assumptions!$A$135:$A$155,0)),'Cash flow forecast'!O$5=INDEX(Assumptions!$F$135:$F$155,MATCH('Cash flow forecast'!$B167,Assumptions!$A$135:$A$155,0))),SUMIFS(Assumptions!$B$135:$B$155,Assumptions!$A$135:$A$155,'Cash flow forecast'!$B167,Assumptions!$D$135:$D$155,"Annual"),0)),"")</f>
        <v>43.75</v>
      </c>
      <c r="P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forecast'!P$5))*(INDEX(Assumptions!$C$135:$C$155,MATCH('Cash flow forecast'!$B167,Assumptions!$A$135:$A$155,0))),IF(OR('Cash flow forecast'!P$5=INDEX(Assumptions!$E$135:$E$155,MATCH('Cash flow forecast'!$B167,Assumptions!$A$135:$A$155,0)),'Cash flow forecast'!P$5=INDEX(Assumptions!$F$135:$F$155,MATCH('Cash flow forecast'!$B167,Assumptions!$A$135:$A$155,0))),SUMIFS(Assumptions!$B$135:$B$155,Assumptions!$A$135:$A$155,'Cash flow forecast'!$B167,Assumptions!$D$135:$D$155,"Annual"),0)),"")</f>
        <v>43.75</v>
      </c>
      <c r="Q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forecast'!Q$5))*(INDEX(Assumptions!$C$135:$C$155,MATCH('Cash flow forecast'!$B167,Assumptions!$A$135:$A$155,0))),IF(OR('Cash flow forecast'!Q$5=INDEX(Assumptions!$E$135:$E$155,MATCH('Cash flow forecast'!$B167,Assumptions!$A$135:$A$155,0)),'Cash flow forecast'!Q$5=INDEX(Assumptions!$F$135:$F$155,MATCH('Cash flow forecast'!$B167,Assumptions!$A$135:$A$155,0))),SUMIFS(Assumptions!$B$135:$B$155,Assumptions!$A$135:$A$155,'Cash flow forecast'!$B167,Assumptions!$D$135:$D$155,"Annual"),0)),"")</f>
        <v>43.75</v>
      </c>
      <c r="R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forecast'!R$5))*(INDEX(Assumptions!$C$135:$C$155,MATCH('Cash flow forecast'!$B167,Assumptions!$A$135:$A$155,0))),IF(OR('Cash flow forecast'!R$5=INDEX(Assumptions!$E$135:$E$155,MATCH('Cash flow forecast'!$B167,Assumptions!$A$135:$A$155,0)),'Cash flow forecast'!R$5=INDEX(Assumptions!$F$135:$F$155,MATCH('Cash flow forecast'!$B167,Assumptions!$A$135:$A$155,0))),SUMIFS(Assumptions!$B$135:$B$155,Assumptions!$A$135:$A$155,'Cash flow forecast'!$B167,Assumptions!$D$135:$D$155,"Annual"),0)),"")</f>
        <v>43.75</v>
      </c>
      <c r="S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forecast'!S$5))*(INDEX(Assumptions!$C$135:$C$155,MATCH('Cash flow forecast'!$B167,Assumptions!$A$135:$A$155,0))),IF(OR('Cash flow forecast'!S$5=INDEX(Assumptions!$E$135:$E$155,MATCH('Cash flow forecast'!$B167,Assumptions!$A$135:$A$155,0)),'Cash flow forecast'!S$5=INDEX(Assumptions!$F$135:$F$155,MATCH('Cash flow forecast'!$B167,Assumptions!$A$135:$A$155,0))),SUMIFS(Assumptions!$B$135:$B$155,Assumptions!$A$135:$A$155,'Cash flow forecast'!$B167,Assumptions!$D$135:$D$155,"Annual"),0)),"")</f>
        <v>43.75</v>
      </c>
      <c r="T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forecast'!T$5))*(INDEX(Assumptions!$C$135:$C$155,MATCH('Cash flow forecast'!$B167,Assumptions!$A$135:$A$155,0))),IF(OR('Cash flow forecast'!T$5=INDEX(Assumptions!$E$135:$E$155,MATCH('Cash flow forecast'!$B167,Assumptions!$A$135:$A$155,0)),'Cash flow forecast'!T$5=INDEX(Assumptions!$F$135:$F$155,MATCH('Cash flow forecast'!$B167,Assumptions!$A$135:$A$155,0))),SUMIFS(Assumptions!$B$135:$B$155,Assumptions!$A$135:$A$155,'Cash flow forecast'!$B167,Assumptions!$D$135:$D$155,"Annual"),0)),"")</f>
        <v>43.75</v>
      </c>
      <c r="U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forecast'!U$5))*(INDEX(Assumptions!$C$135:$C$155,MATCH('Cash flow forecast'!$B167,Assumptions!$A$135:$A$155,0))),IF(OR('Cash flow forecast'!U$5=INDEX(Assumptions!$E$135:$E$155,MATCH('Cash flow forecast'!$B167,Assumptions!$A$135:$A$155,0)),'Cash flow forecast'!U$5=INDEX(Assumptions!$F$135:$F$155,MATCH('Cash flow forecast'!$B167,Assumptions!$A$135:$A$155,0))),SUMIFS(Assumptions!$B$135:$B$155,Assumptions!$A$135:$A$155,'Cash flow forecast'!$B167,Assumptions!$D$135:$D$155,"Annual"),0)),"")</f>
        <v>43.75</v>
      </c>
      <c r="V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forecast'!V$5))*(INDEX(Assumptions!$C$135:$C$155,MATCH('Cash flow forecast'!$B167,Assumptions!$A$135:$A$155,0))),IF(OR('Cash flow forecast'!V$5=INDEX(Assumptions!$E$135:$E$155,MATCH('Cash flow forecast'!$B167,Assumptions!$A$135:$A$155,0)),'Cash flow forecast'!V$5=INDEX(Assumptions!$F$135:$F$155,MATCH('Cash flow forecast'!$B167,Assumptions!$A$135:$A$155,0))),SUMIFS(Assumptions!$B$135:$B$155,Assumptions!$A$135:$A$155,'Cash flow forecast'!$B167,Assumptions!$D$135:$D$155,"Annual"),0)),"")</f>
        <v>43.75</v>
      </c>
      <c r="W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forecast'!W$5))*(INDEX(Assumptions!$C$135:$C$155,MATCH('Cash flow forecast'!$B167,Assumptions!$A$135:$A$155,0))),IF(OR('Cash flow forecast'!W$5=INDEX(Assumptions!$E$135:$E$155,MATCH('Cash flow forecast'!$B167,Assumptions!$A$135:$A$155,0)),'Cash flow forecast'!W$5=INDEX(Assumptions!$F$135:$F$155,MATCH('Cash flow forecast'!$B167,Assumptions!$A$135:$A$155,0))),SUMIFS(Assumptions!$B$135:$B$155,Assumptions!$A$135:$A$155,'Cash flow forecast'!$B167,Assumptions!$D$135:$D$155,"Annual"),0)),"")</f>
        <v>43.75</v>
      </c>
      <c r="X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forecast'!X$5))*(INDEX(Assumptions!$C$135:$C$155,MATCH('Cash flow forecast'!$B167,Assumptions!$A$135:$A$155,0))),IF(OR('Cash flow forecast'!X$5=INDEX(Assumptions!$E$135:$E$155,MATCH('Cash flow forecast'!$B167,Assumptions!$A$135:$A$155,0)),'Cash flow forecast'!X$5=INDEX(Assumptions!$F$135:$F$155,MATCH('Cash flow forecast'!$B167,Assumptions!$A$135:$A$155,0))),SUMIFS(Assumptions!$B$135:$B$155,Assumptions!$A$135:$A$155,'Cash flow forecast'!$B167,Assumptions!$D$135:$D$155,"Annual"),0)),"")</f>
        <v>43.75</v>
      </c>
      <c r="Y167" s="222">
        <f>IFERROR(IF(INDEX(Assumptions!$D$135:$D$155,MATCH('Cash flow forecast'!$B167,Assumptions!$A$135:$A$155,0))="Monthly",(SUMIFS(Assumptions!$B$135:$B$155,Assumptions!$A$135:$A$155,'Cash flow forecast'!$B167,Assumptions!$E$135:$E$155,"&lt;="&amp;'Cash flow forecast'!Y$5))*(INDEX(Assumptions!$C$135:$C$155,MATCH('Cash flow forecast'!$B167,Assumptions!$A$135:$A$155,0))),IF(OR('Cash flow forecast'!Y$5=INDEX(Assumptions!$E$135:$E$155,MATCH('Cash flow forecast'!$B167,Assumptions!$A$135:$A$155,0)),'Cash flow forecast'!Y$5=INDEX(Assumptions!$F$135:$F$155,MATCH('Cash flow forecast'!$B167,Assumptions!$A$135:$A$155,0))),SUMIFS(Assumptions!$B$135:$B$155,Assumptions!$A$135:$A$155,'Cash flow forecast'!$B167,Assumptions!$D$135:$D$155,"Annual"),0)),"")</f>
        <v>43.75</v>
      </c>
      <c r="Z167" s="223">
        <f>IFERROR(IF(INDEX(Assumptions!$D$135:$D$155,MATCH('Cash flow forecast'!$B167,Assumptions!$A$135:$A$155,0))="Monthly",(SUMIFS(Assumptions!$B$135:$B$155,Assumptions!$A$135:$A$155,'Cash flow forecast'!$B167,Assumptions!$E$135:$E$155,"&lt;="&amp;'Cash flow forecast'!Z$5))*(INDEX(Assumptions!$C$135:$C$155,MATCH('Cash flow forecast'!$B167,Assumptions!$A$135:$A$155,0))),IF(OR('Cash flow forecast'!Z$5=INDEX(Assumptions!$E$135:$E$155,MATCH('Cash flow forecast'!$B167,Assumptions!$A$135:$A$155,0)),'Cash flow forecast'!Z$5=INDEX(Assumptions!$F$135:$F$155,MATCH('Cash flow forecast'!$B167,Assumptions!$A$135:$A$155,0))),SUMIFS(Assumptions!$B$135:$B$155,Assumptions!$A$135:$A$155,'Cash flow forecast'!$B167,Assumptions!$D$135:$D$155,"Annual"),0)),"")</f>
        <v>43.75</v>
      </c>
      <c r="AA167" s="221">
        <f t="shared" si="172"/>
        <v>131.25</v>
      </c>
      <c r="AB167" s="224">
        <f t="shared" si="172"/>
        <v>131.25</v>
      </c>
      <c r="AC167" s="224">
        <f t="shared" si="172"/>
        <v>131.25</v>
      </c>
      <c r="AD167" s="224">
        <f t="shared" si="172"/>
        <v>131.25</v>
      </c>
      <c r="AE167" s="225">
        <f t="shared" si="173"/>
        <v>525</v>
      </c>
      <c r="AF167" s="221">
        <f t="shared" si="176"/>
        <v>131.25</v>
      </c>
      <c r="AG167" s="224">
        <f t="shared" si="174"/>
        <v>131.25</v>
      </c>
      <c r="AH167" s="224">
        <f t="shared" si="174"/>
        <v>131.25</v>
      </c>
      <c r="AI167" s="223">
        <f t="shared" si="174"/>
        <v>131.25</v>
      </c>
      <c r="AJ167" s="225">
        <f t="shared" si="177"/>
        <v>525</v>
      </c>
      <c r="AK167" s="243">
        <f t="shared" si="175"/>
        <v>1.0270486532966364E-3</v>
      </c>
    </row>
    <row r="168" spans="2:37" ht="22.15" hidden="1" customHeight="1" outlineLevel="1" x14ac:dyDescent="0.25">
      <c r="B168" s="91" t="str">
        <f>IF(Assumptions!$A145="","",Assumptions!$A145)</f>
        <v>Test 11</v>
      </c>
      <c r="C168" s="221">
        <f>IFERROR(IF(INDEX(Assumptions!$D$135:$D$155,MATCH('Cash flow forecast'!$B168,Assumptions!$A$135:$A$155,0))="Monthly",(SUMIFS(Assumptions!$B$135:$B$155,Assumptions!$A$135:$A$155,'Cash flow forecast'!$B168,Assumptions!$E$135:$E$155,"&lt;="&amp;'Cash flow forecast'!C$5))*(INDEX(Assumptions!$C$135:$C$155,MATCH('Cash flow forecast'!$B168,Assumptions!$A$135:$A$155,0))),IF(OR('Cash flow forecast'!C$5=INDEX(Assumptions!$E$135:$E$155,MATCH('Cash flow forecast'!$B168,Assumptions!$A$135:$A$155,0)),'Cash flow forecast'!C$5=INDEX(Assumptions!$F$135:$F$155,MATCH('Cash flow forecast'!$B168,Assumptions!$A$135:$A$155,0))),SUMIFS(Assumptions!$B$135:$B$155,Assumptions!$A$135:$A$155,'Cash flow forecast'!$B168,Assumptions!$D$135:$D$155,"Annual"),0)),"")</f>
        <v>612.86</v>
      </c>
      <c r="D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forecast'!D$5))*(INDEX(Assumptions!$C$135:$C$155,MATCH('Cash flow forecast'!$B168,Assumptions!$A$135:$A$155,0))),IF(OR('Cash flow forecast'!D$5=INDEX(Assumptions!$E$135:$E$155,MATCH('Cash flow forecast'!$B168,Assumptions!$A$135:$A$155,0)),'Cash flow forecast'!D$5=INDEX(Assumptions!$F$135:$F$155,MATCH('Cash flow forecast'!$B168,Assumptions!$A$135:$A$155,0))),SUMIFS(Assumptions!$B$135:$B$155,Assumptions!$A$135:$A$155,'Cash flow forecast'!$B168,Assumptions!$D$135:$D$155,"Annual"),0)),"")</f>
        <v>0</v>
      </c>
      <c r="E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forecast'!E$5))*(INDEX(Assumptions!$C$135:$C$155,MATCH('Cash flow forecast'!$B168,Assumptions!$A$135:$A$155,0))),IF(OR('Cash flow forecast'!E$5=INDEX(Assumptions!$E$135:$E$155,MATCH('Cash flow forecast'!$B168,Assumptions!$A$135:$A$155,0)),'Cash flow forecast'!E$5=INDEX(Assumptions!$F$135:$F$155,MATCH('Cash flow forecast'!$B168,Assumptions!$A$135:$A$155,0))),SUMIFS(Assumptions!$B$135:$B$155,Assumptions!$A$135:$A$155,'Cash flow forecast'!$B168,Assumptions!$D$135:$D$155,"Annual"),0)),"")</f>
        <v>0</v>
      </c>
      <c r="F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forecast'!F$5))*(INDEX(Assumptions!$C$135:$C$155,MATCH('Cash flow forecast'!$B168,Assumptions!$A$135:$A$155,0))),IF(OR('Cash flow forecast'!F$5=INDEX(Assumptions!$E$135:$E$155,MATCH('Cash flow forecast'!$B168,Assumptions!$A$135:$A$155,0)),'Cash flow forecast'!F$5=INDEX(Assumptions!$F$135:$F$155,MATCH('Cash flow forecast'!$B168,Assumptions!$A$135:$A$155,0))),SUMIFS(Assumptions!$B$135:$B$155,Assumptions!$A$135:$A$155,'Cash flow forecast'!$B168,Assumptions!$D$135:$D$155,"Annual"),0)),"")</f>
        <v>0</v>
      </c>
      <c r="G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forecast'!G$5))*(INDEX(Assumptions!$C$135:$C$155,MATCH('Cash flow forecast'!$B168,Assumptions!$A$135:$A$155,0))),IF(OR('Cash flow forecast'!G$5=INDEX(Assumptions!$E$135:$E$155,MATCH('Cash flow forecast'!$B168,Assumptions!$A$135:$A$155,0)),'Cash flow forecast'!G$5=INDEX(Assumptions!$F$135:$F$155,MATCH('Cash flow forecast'!$B168,Assumptions!$A$135:$A$155,0))),SUMIFS(Assumptions!$B$135:$B$155,Assumptions!$A$135:$A$155,'Cash flow forecast'!$B168,Assumptions!$D$135:$D$155,"Annual"),0)),"")</f>
        <v>0</v>
      </c>
      <c r="H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forecast'!H$5))*(INDEX(Assumptions!$C$135:$C$155,MATCH('Cash flow forecast'!$B168,Assumptions!$A$135:$A$155,0))),IF(OR('Cash flow forecast'!H$5=INDEX(Assumptions!$E$135:$E$155,MATCH('Cash flow forecast'!$B168,Assumptions!$A$135:$A$155,0)),'Cash flow forecast'!H$5=INDEX(Assumptions!$F$135:$F$155,MATCH('Cash flow forecast'!$B168,Assumptions!$A$135:$A$155,0))),SUMIFS(Assumptions!$B$135:$B$155,Assumptions!$A$135:$A$155,'Cash flow forecast'!$B168,Assumptions!$D$135:$D$155,"Annual"),0)),"")</f>
        <v>0</v>
      </c>
      <c r="I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forecast'!I$5))*(INDEX(Assumptions!$C$135:$C$155,MATCH('Cash flow forecast'!$B168,Assumptions!$A$135:$A$155,0))),IF(OR('Cash flow forecast'!I$5=INDEX(Assumptions!$E$135:$E$155,MATCH('Cash flow forecast'!$B168,Assumptions!$A$135:$A$155,0)),'Cash flow forecast'!I$5=INDEX(Assumptions!$F$135:$F$155,MATCH('Cash flow forecast'!$B168,Assumptions!$A$135:$A$155,0))),SUMIFS(Assumptions!$B$135:$B$155,Assumptions!$A$135:$A$155,'Cash flow forecast'!$B168,Assumptions!$D$135:$D$155,"Annual"),0)),"")</f>
        <v>0</v>
      </c>
      <c r="J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forecast'!J$5))*(INDEX(Assumptions!$C$135:$C$155,MATCH('Cash flow forecast'!$B168,Assumptions!$A$135:$A$155,0))),IF(OR('Cash flow forecast'!J$5=INDEX(Assumptions!$E$135:$E$155,MATCH('Cash flow forecast'!$B168,Assumptions!$A$135:$A$155,0)),'Cash flow forecast'!J$5=INDEX(Assumptions!$F$135:$F$155,MATCH('Cash flow forecast'!$B168,Assumptions!$A$135:$A$155,0))),SUMIFS(Assumptions!$B$135:$B$155,Assumptions!$A$135:$A$155,'Cash flow forecast'!$B168,Assumptions!$D$135:$D$155,"Annual"),0)),"")</f>
        <v>0</v>
      </c>
      <c r="K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forecast'!K$5))*(INDEX(Assumptions!$C$135:$C$155,MATCH('Cash flow forecast'!$B168,Assumptions!$A$135:$A$155,0))),IF(OR('Cash flow forecast'!K$5=INDEX(Assumptions!$E$135:$E$155,MATCH('Cash flow forecast'!$B168,Assumptions!$A$135:$A$155,0)),'Cash flow forecast'!K$5=INDEX(Assumptions!$F$135:$F$155,MATCH('Cash flow forecast'!$B168,Assumptions!$A$135:$A$155,0))),SUMIFS(Assumptions!$B$135:$B$155,Assumptions!$A$135:$A$155,'Cash flow forecast'!$B168,Assumptions!$D$135:$D$155,"Annual"),0)),"")</f>
        <v>0</v>
      </c>
      <c r="L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forecast'!L$5))*(INDEX(Assumptions!$C$135:$C$155,MATCH('Cash flow forecast'!$B168,Assumptions!$A$135:$A$155,0))),IF(OR('Cash flow forecast'!L$5=INDEX(Assumptions!$E$135:$E$155,MATCH('Cash flow forecast'!$B168,Assumptions!$A$135:$A$155,0)),'Cash flow forecast'!L$5=INDEX(Assumptions!$F$135:$F$155,MATCH('Cash flow forecast'!$B168,Assumptions!$A$135:$A$155,0))),SUMIFS(Assumptions!$B$135:$B$155,Assumptions!$A$135:$A$155,'Cash flow forecast'!$B168,Assumptions!$D$135:$D$155,"Annual"),0)),"")</f>
        <v>0</v>
      </c>
      <c r="M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forecast'!M$5))*(INDEX(Assumptions!$C$135:$C$155,MATCH('Cash flow forecast'!$B168,Assumptions!$A$135:$A$155,0))),IF(OR('Cash flow forecast'!M$5=INDEX(Assumptions!$E$135:$E$155,MATCH('Cash flow forecast'!$B168,Assumptions!$A$135:$A$155,0)),'Cash flow forecast'!M$5=INDEX(Assumptions!$F$135:$F$155,MATCH('Cash flow forecast'!$B168,Assumptions!$A$135:$A$155,0))),SUMIFS(Assumptions!$B$135:$B$155,Assumptions!$A$135:$A$155,'Cash flow forecast'!$B168,Assumptions!$D$135:$D$155,"Annual"),0)),"")</f>
        <v>0</v>
      </c>
      <c r="N168" s="223">
        <f>IFERROR(IF(INDEX(Assumptions!$D$135:$D$155,MATCH('Cash flow forecast'!$B168,Assumptions!$A$135:$A$155,0))="Monthly",(SUMIFS(Assumptions!$B$135:$B$155,Assumptions!$A$135:$A$155,'Cash flow forecast'!$B168,Assumptions!$E$135:$E$155,"&lt;="&amp;'Cash flow forecast'!N$5))*(INDEX(Assumptions!$C$135:$C$155,MATCH('Cash flow forecast'!$B168,Assumptions!$A$135:$A$155,0))),IF(OR('Cash flow forecast'!N$5=INDEX(Assumptions!$E$135:$E$155,MATCH('Cash flow forecast'!$B168,Assumptions!$A$135:$A$155,0)),'Cash flow forecast'!N$5=INDEX(Assumptions!$F$135:$F$155,MATCH('Cash flow forecast'!$B168,Assumptions!$A$135:$A$155,0))),SUMIFS(Assumptions!$B$135:$B$155,Assumptions!$A$135:$A$155,'Cash flow forecast'!$B168,Assumptions!$D$135:$D$155,"Annual"),0)),"")</f>
        <v>0</v>
      </c>
      <c r="O168" s="221">
        <f>IFERROR(IF(INDEX(Assumptions!$D$135:$D$155,MATCH('Cash flow forecast'!$B168,Assumptions!$A$135:$A$155,0))="Monthly",(SUMIFS(Assumptions!$B$135:$B$155,Assumptions!$A$135:$A$155,'Cash flow forecast'!$B168,Assumptions!$E$135:$E$155,"&lt;="&amp;'Cash flow forecast'!O$5))*(INDEX(Assumptions!$C$135:$C$155,MATCH('Cash flow forecast'!$B168,Assumptions!$A$135:$A$155,0))),IF(OR('Cash flow forecast'!O$5=INDEX(Assumptions!$E$135:$E$155,MATCH('Cash flow forecast'!$B168,Assumptions!$A$135:$A$155,0)),'Cash flow forecast'!O$5=INDEX(Assumptions!$F$135:$F$155,MATCH('Cash flow forecast'!$B168,Assumptions!$A$135:$A$155,0))),SUMIFS(Assumptions!$B$135:$B$155,Assumptions!$A$135:$A$155,'Cash flow forecast'!$B168,Assumptions!$D$135:$D$155,"Annual"),0)),"")</f>
        <v>612.86</v>
      </c>
      <c r="P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forecast'!P$5))*(INDEX(Assumptions!$C$135:$C$155,MATCH('Cash flow forecast'!$B168,Assumptions!$A$135:$A$155,0))),IF(OR('Cash flow forecast'!P$5=INDEX(Assumptions!$E$135:$E$155,MATCH('Cash flow forecast'!$B168,Assumptions!$A$135:$A$155,0)),'Cash flow forecast'!P$5=INDEX(Assumptions!$F$135:$F$155,MATCH('Cash flow forecast'!$B168,Assumptions!$A$135:$A$155,0))),SUMIFS(Assumptions!$B$135:$B$155,Assumptions!$A$135:$A$155,'Cash flow forecast'!$B168,Assumptions!$D$135:$D$155,"Annual"),0)),"")</f>
        <v>0</v>
      </c>
      <c r="Q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forecast'!Q$5))*(INDEX(Assumptions!$C$135:$C$155,MATCH('Cash flow forecast'!$B168,Assumptions!$A$135:$A$155,0))),IF(OR('Cash flow forecast'!Q$5=INDEX(Assumptions!$E$135:$E$155,MATCH('Cash flow forecast'!$B168,Assumptions!$A$135:$A$155,0)),'Cash flow forecast'!Q$5=INDEX(Assumptions!$F$135:$F$155,MATCH('Cash flow forecast'!$B168,Assumptions!$A$135:$A$155,0))),SUMIFS(Assumptions!$B$135:$B$155,Assumptions!$A$135:$A$155,'Cash flow forecast'!$B168,Assumptions!$D$135:$D$155,"Annual"),0)),"")</f>
        <v>0</v>
      </c>
      <c r="R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forecast'!R$5))*(INDEX(Assumptions!$C$135:$C$155,MATCH('Cash flow forecast'!$B168,Assumptions!$A$135:$A$155,0))),IF(OR('Cash flow forecast'!R$5=INDEX(Assumptions!$E$135:$E$155,MATCH('Cash flow forecast'!$B168,Assumptions!$A$135:$A$155,0)),'Cash flow forecast'!R$5=INDEX(Assumptions!$F$135:$F$155,MATCH('Cash flow forecast'!$B168,Assumptions!$A$135:$A$155,0))),SUMIFS(Assumptions!$B$135:$B$155,Assumptions!$A$135:$A$155,'Cash flow forecast'!$B168,Assumptions!$D$135:$D$155,"Annual"),0)),"")</f>
        <v>0</v>
      </c>
      <c r="S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forecast'!S$5))*(INDEX(Assumptions!$C$135:$C$155,MATCH('Cash flow forecast'!$B168,Assumptions!$A$135:$A$155,0))),IF(OR('Cash flow forecast'!S$5=INDEX(Assumptions!$E$135:$E$155,MATCH('Cash flow forecast'!$B168,Assumptions!$A$135:$A$155,0)),'Cash flow forecast'!S$5=INDEX(Assumptions!$F$135:$F$155,MATCH('Cash flow forecast'!$B168,Assumptions!$A$135:$A$155,0))),SUMIFS(Assumptions!$B$135:$B$155,Assumptions!$A$135:$A$155,'Cash flow forecast'!$B168,Assumptions!$D$135:$D$155,"Annual"),0)),"")</f>
        <v>0</v>
      </c>
      <c r="T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forecast'!T$5))*(INDEX(Assumptions!$C$135:$C$155,MATCH('Cash flow forecast'!$B168,Assumptions!$A$135:$A$155,0))),IF(OR('Cash flow forecast'!T$5=INDEX(Assumptions!$E$135:$E$155,MATCH('Cash flow forecast'!$B168,Assumptions!$A$135:$A$155,0)),'Cash flow forecast'!T$5=INDEX(Assumptions!$F$135:$F$155,MATCH('Cash flow forecast'!$B168,Assumptions!$A$135:$A$155,0))),SUMIFS(Assumptions!$B$135:$B$155,Assumptions!$A$135:$A$155,'Cash flow forecast'!$B168,Assumptions!$D$135:$D$155,"Annual"),0)),"")</f>
        <v>0</v>
      </c>
      <c r="U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forecast'!U$5))*(INDEX(Assumptions!$C$135:$C$155,MATCH('Cash flow forecast'!$B168,Assumptions!$A$135:$A$155,0))),IF(OR('Cash flow forecast'!U$5=INDEX(Assumptions!$E$135:$E$155,MATCH('Cash flow forecast'!$B168,Assumptions!$A$135:$A$155,0)),'Cash flow forecast'!U$5=INDEX(Assumptions!$F$135:$F$155,MATCH('Cash flow forecast'!$B168,Assumptions!$A$135:$A$155,0))),SUMIFS(Assumptions!$B$135:$B$155,Assumptions!$A$135:$A$155,'Cash flow forecast'!$B168,Assumptions!$D$135:$D$155,"Annual"),0)),"")</f>
        <v>0</v>
      </c>
      <c r="V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forecast'!V$5))*(INDEX(Assumptions!$C$135:$C$155,MATCH('Cash flow forecast'!$B168,Assumptions!$A$135:$A$155,0))),IF(OR('Cash flow forecast'!V$5=INDEX(Assumptions!$E$135:$E$155,MATCH('Cash flow forecast'!$B168,Assumptions!$A$135:$A$155,0)),'Cash flow forecast'!V$5=INDEX(Assumptions!$F$135:$F$155,MATCH('Cash flow forecast'!$B168,Assumptions!$A$135:$A$155,0))),SUMIFS(Assumptions!$B$135:$B$155,Assumptions!$A$135:$A$155,'Cash flow forecast'!$B168,Assumptions!$D$135:$D$155,"Annual"),0)),"")</f>
        <v>0</v>
      </c>
      <c r="W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forecast'!W$5))*(INDEX(Assumptions!$C$135:$C$155,MATCH('Cash flow forecast'!$B168,Assumptions!$A$135:$A$155,0))),IF(OR('Cash flow forecast'!W$5=INDEX(Assumptions!$E$135:$E$155,MATCH('Cash flow forecast'!$B168,Assumptions!$A$135:$A$155,0)),'Cash flow forecast'!W$5=INDEX(Assumptions!$F$135:$F$155,MATCH('Cash flow forecast'!$B168,Assumptions!$A$135:$A$155,0))),SUMIFS(Assumptions!$B$135:$B$155,Assumptions!$A$135:$A$155,'Cash flow forecast'!$B168,Assumptions!$D$135:$D$155,"Annual"),0)),"")</f>
        <v>0</v>
      </c>
      <c r="X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forecast'!X$5))*(INDEX(Assumptions!$C$135:$C$155,MATCH('Cash flow forecast'!$B168,Assumptions!$A$135:$A$155,0))),IF(OR('Cash flow forecast'!X$5=INDEX(Assumptions!$E$135:$E$155,MATCH('Cash flow forecast'!$B168,Assumptions!$A$135:$A$155,0)),'Cash flow forecast'!X$5=INDEX(Assumptions!$F$135:$F$155,MATCH('Cash flow forecast'!$B168,Assumptions!$A$135:$A$155,0))),SUMIFS(Assumptions!$B$135:$B$155,Assumptions!$A$135:$A$155,'Cash flow forecast'!$B168,Assumptions!$D$135:$D$155,"Annual"),0)),"")</f>
        <v>0</v>
      </c>
      <c r="Y168" s="222">
        <f>IFERROR(IF(INDEX(Assumptions!$D$135:$D$155,MATCH('Cash flow forecast'!$B168,Assumptions!$A$135:$A$155,0))="Monthly",(SUMIFS(Assumptions!$B$135:$B$155,Assumptions!$A$135:$A$155,'Cash flow forecast'!$B168,Assumptions!$E$135:$E$155,"&lt;="&amp;'Cash flow forecast'!Y$5))*(INDEX(Assumptions!$C$135:$C$155,MATCH('Cash flow forecast'!$B168,Assumptions!$A$135:$A$155,0))),IF(OR('Cash flow forecast'!Y$5=INDEX(Assumptions!$E$135:$E$155,MATCH('Cash flow forecast'!$B168,Assumptions!$A$135:$A$155,0)),'Cash flow forecast'!Y$5=INDEX(Assumptions!$F$135:$F$155,MATCH('Cash flow forecast'!$B168,Assumptions!$A$135:$A$155,0))),SUMIFS(Assumptions!$B$135:$B$155,Assumptions!$A$135:$A$155,'Cash flow forecast'!$B168,Assumptions!$D$135:$D$155,"Annual"),0)),"")</f>
        <v>0</v>
      </c>
      <c r="Z168" s="223">
        <f>IFERROR(IF(INDEX(Assumptions!$D$135:$D$155,MATCH('Cash flow forecast'!$B168,Assumptions!$A$135:$A$155,0))="Monthly",(SUMIFS(Assumptions!$B$135:$B$155,Assumptions!$A$135:$A$155,'Cash flow forecast'!$B168,Assumptions!$E$135:$E$155,"&lt;="&amp;'Cash flow forecast'!Z$5))*(INDEX(Assumptions!$C$135:$C$155,MATCH('Cash flow forecast'!$B168,Assumptions!$A$135:$A$155,0))),IF(OR('Cash flow forecast'!Z$5=INDEX(Assumptions!$E$135:$E$155,MATCH('Cash flow forecast'!$B168,Assumptions!$A$135:$A$155,0)),'Cash flow forecast'!Z$5=INDEX(Assumptions!$F$135:$F$155,MATCH('Cash flow forecast'!$B168,Assumptions!$A$135:$A$155,0))),SUMIFS(Assumptions!$B$135:$B$155,Assumptions!$A$135:$A$155,'Cash flow forecast'!$B168,Assumptions!$D$135:$D$155,"Annual"),0)),"")</f>
        <v>0</v>
      </c>
      <c r="AA168" s="221">
        <f t="shared" si="172"/>
        <v>612.86</v>
      </c>
      <c r="AB168" s="224">
        <f t="shared" si="172"/>
        <v>0</v>
      </c>
      <c r="AC168" s="224">
        <f t="shared" si="172"/>
        <v>0</v>
      </c>
      <c r="AD168" s="224">
        <f t="shared" si="172"/>
        <v>0</v>
      </c>
      <c r="AE168" s="225">
        <f t="shared" si="173"/>
        <v>612.86</v>
      </c>
      <c r="AF168" s="221">
        <f t="shared" si="176"/>
        <v>612.86</v>
      </c>
      <c r="AG168" s="224">
        <f t="shared" si="174"/>
        <v>0</v>
      </c>
      <c r="AH168" s="224">
        <f t="shared" si="174"/>
        <v>0</v>
      </c>
      <c r="AI168" s="223">
        <f t="shared" si="174"/>
        <v>0</v>
      </c>
      <c r="AJ168" s="225">
        <f t="shared" si="177"/>
        <v>612.86</v>
      </c>
      <c r="AK168" s="243">
        <f t="shared" si="175"/>
        <v>1.198927690779765E-3</v>
      </c>
    </row>
    <row r="169" spans="2:37" ht="22.15" hidden="1" customHeight="1" outlineLevel="1" x14ac:dyDescent="0.25">
      <c r="B169" s="91" t="str">
        <f>IF(Assumptions!$A146="","",Assumptions!$A146)</f>
        <v>Test 12</v>
      </c>
      <c r="C169" s="221">
        <f>IFERROR(IF(INDEX(Assumptions!$D$135:$D$155,MATCH('Cash flow forecast'!$B169,Assumptions!$A$135:$A$155,0))="Monthly",(SUMIFS(Assumptions!$B$135:$B$155,Assumptions!$A$135:$A$155,'Cash flow forecast'!$B169,Assumptions!$E$135:$E$155,"&lt;="&amp;'Cash flow forecast'!C$5))*(INDEX(Assumptions!$C$135:$C$155,MATCH('Cash flow forecast'!$B169,Assumptions!$A$135:$A$155,0))),IF(OR('Cash flow forecast'!C$5=INDEX(Assumptions!$E$135:$E$155,MATCH('Cash flow forecast'!$B169,Assumptions!$A$135:$A$155,0)),'Cash flow forecast'!C$5=INDEX(Assumptions!$F$135:$F$155,MATCH('Cash flow forecast'!$B169,Assumptions!$A$135:$A$155,0))),SUMIFS(Assumptions!$B$135:$B$155,Assumptions!$A$135:$A$155,'Cash flow forecast'!$B169,Assumptions!$D$135:$D$155,"Annual"),0)),"")</f>
        <v>50</v>
      </c>
      <c r="D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forecast'!D$5))*(INDEX(Assumptions!$C$135:$C$155,MATCH('Cash flow forecast'!$B169,Assumptions!$A$135:$A$155,0))),IF(OR('Cash flow forecast'!D$5=INDEX(Assumptions!$E$135:$E$155,MATCH('Cash flow forecast'!$B169,Assumptions!$A$135:$A$155,0)),'Cash flow forecast'!D$5=INDEX(Assumptions!$F$135:$F$155,MATCH('Cash flow forecast'!$B169,Assumptions!$A$135:$A$155,0))),SUMIFS(Assumptions!$B$135:$B$155,Assumptions!$A$135:$A$155,'Cash flow forecast'!$B169,Assumptions!$D$135:$D$155,"Annual"),0)),"")</f>
        <v>50</v>
      </c>
      <c r="E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forecast'!E$5))*(INDEX(Assumptions!$C$135:$C$155,MATCH('Cash flow forecast'!$B169,Assumptions!$A$135:$A$155,0))),IF(OR('Cash flow forecast'!E$5=INDEX(Assumptions!$E$135:$E$155,MATCH('Cash flow forecast'!$B169,Assumptions!$A$135:$A$155,0)),'Cash flow forecast'!E$5=INDEX(Assumptions!$F$135:$F$155,MATCH('Cash flow forecast'!$B169,Assumptions!$A$135:$A$155,0))),SUMIFS(Assumptions!$B$135:$B$155,Assumptions!$A$135:$A$155,'Cash flow forecast'!$B169,Assumptions!$D$135:$D$155,"Annual"),0)),"")</f>
        <v>50</v>
      </c>
      <c r="F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forecast'!F$5))*(INDEX(Assumptions!$C$135:$C$155,MATCH('Cash flow forecast'!$B169,Assumptions!$A$135:$A$155,0))),IF(OR('Cash flow forecast'!F$5=INDEX(Assumptions!$E$135:$E$155,MATCH('Cash flow forecast'!$B169,Assumptions!$A$135:$A$155,0)),'Cash flow forecast'!F$5=INDEX(Assumptions!$F$135:$F$155,MATCH('Cash flow forecast'!$B169,Assumptions!$A$135:$A$155,0))),SUMIFS(Assumptions!$B$135:$B$155,Assumptions!$A$135:$A$155,'Cash flow forecast'!$B169,Assumptions!$D$135:$D$155,"Annual"),0)),"")</f>
        <v>50</v>
      </c>
      <c r="G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forecast'!G$5))*(INDEX(Assumptions!$C$135:$C$155,MATCH('Cash flow forecast'!$B169,Assumptions!$A$135:$A$155,0))),IF(OR('Cash flow forecast'!G$5=INDEX(Assumptions!$E$135:$E$155,MATCH('Cash flow forecast'!$B169,Assumptions!$A$135:$A$155,0)),'Cash flow forecast'!G$5=INDEX(Assumptions!$F$135:$F$155,MATCH('Cash flow forecast'!$B169,Assumptions!$A$135:$A$155,0))),SUMIFS(Assumptions!$B$135:$B$155,Assumptions!$A$135:$A$155,'Cash flow forecast'!$B169,Assumptions!$D$135:$D$155,"Annual"),0)),"")</f>
        <v>50</v>
      </c>
      <c r="H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forecast'!H$5))*(INDEX(Assumptions!$C$135:$C$155,MATCH('Cash flow forecast'!$B169,Assumptions!$A$135:$A$155,0))),IF(OR('Cash flow forecast'!H$5=INDEX(Assumptions!$E$135:$E$155,MATCH('Cash flow forecast'!$B169,Assumptions!$A$135:$A$155,0)),'Cash flow forecast'!H$5=INDEX(Assumptions!$F$135:$F$155,MATCH('Cash flow forecast'!$B169,Assumptions!$A$135:$A$155,0))),SUMIFS(Assumptions!$B$135:$B$155,Assumptions!$A$135:$A$155,'Cash flow forecast'!$B169,Assumptions!$D$135:$D$155,"Annual"),0)),"")</f>
        <v>50</v>
      </c>
      <c r="I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forecast'!I$5))*(INDEX(Assumptions!$C$135:$C$155,MATCH('Cash flow forecast'!$B169,Assumptions!$A$135:$A$155,0))),IF(OR('Cash flow forecast'!I$5=INDEX(Assumptions!$E$135:$E$155,MATCH('Cash flow forecast'!$B169,Assumptions!$A$135:$A$155,0)),'Cash flow forecast'!I$5=INDEX(Assumptions!$F$135:$F$155,MATCH('Cash flow forecast'!$B169,Assumptions!$A$135:$A$155,0))),SUMIFS(Assumptions!$B$135:$B$155,Assumptions!$A$135:$A$155,'Cash flow forecast'!$B169,Assumptions!$D$135:$D$155,"Annual"),0)),"")</f>
        <v>50</v>
      </c>
      <c r="J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forecast'!J$5))*(INDEX(Assumptions!$C$135:$C$155,MATCH('Cash flow forecast'!$B169,Assumptions!$A$135:$A$155,0))),IF(OR('Cash flow forecast'!J$5=INDEX(Assumptions!$E$135:$E$155,MATCH('Cash flow forecast'!$B169,Assumptions!$A$135:$A$155,0)),'Cash flow forecast'!J$5=INDEX(Assumptions!$F$135:$F$155,MATCH('Cash flow forecast'!$B169,Assumptions!$A$135:$A$155,0))),SUMIFS(Assumptions!$B$135:$B$155,Assumptions!$A$135:$A$155,'Cash flow forecast'!$B169,Assumptions!$D$135:$D$155,"Annual"),0)),"")</f>
        <v>50</v>
      </c>
      <c r="K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forecast'!K$5))*(INDEX(Assumptions!$C$135:$C$155,MATCH('Cash flow forecast'!$B169,Assumptions!$A$135:$A$155,0))),IF(OR('Cash flow forecast'!K$5=INDEX(Assumptions!$E$135:$E$155,MATCH('Cash flow forecast'!$B169,Assumptions!$A$135:$A$155,0)),'Cash flow forecast'!K$5=INDEX(Assumptions!$F$135:$F$155,MATCH('Cash flow forecast'!$B169,Assumptions!$A$135:$A$155,0))),SUMIFS(Assumptions!$B$135:$B$155,Assumptions!$A$135:$A$155,'Cash flow forecast'!$B169,Assumptions!$D$135:$D$155,"Annual"),0)),"")</f>
        <v>50</v>
      </c>
      <c r="L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forecast'!L$5))*(INDEX(Assumptions!$C$135:$C$155,MATCH('Cash flow forecast'!$B169,Assumptions!$A$135:$A$155,0))),IF(OR('Cash flow forecast'!L$5=INDEX(Assumptions!$E$135:$E$155,MATCH('Cash flow forecast'!$B169,Assumptions!$A$135:$A$155,0)),'Cash flow forecast'!L$5=INDEX(Assumptions!$F$135:$F$155,MATCH('Cash flow forecast'!$B169,Assumptions!$A$135:$A$155,0))),SUMIFS(Assumptions!$B$135:$B$155,Assumptions!$A$135:$A$155,'Cash flow forecast'!$B169,Assumptions!$D$135:$D$155,"Annual"),0)),"")</f>
        <v>50</v>
      </c>
      <c r="M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forecast'!M$5))*(INDEX(Assumptions!$C$135:$C$155,MATCH('Cash flow forecast'!$B169,Assumptions!$A$135:$A$155,0))),IF(OR('Cash flow forecast'!M$5=INDEX(Assumptions!$E$135:$E$155,MATCH('Cash flow forecast'!$B169,Assumptions!$A$135:$A$155,0)),'Cash flow forecast'!M$5=INDEX(Assumptions!$F$135:$F$155,MATCH('Cash flow forecast'!$B169,Assumptions!$A$135:$A$155,0))),SUMIFS(Assumptions!$B$135:$B$155,Assumptions!$A$135:$A$155,'Cash flow forecast'!$B169,Assumptions!$D$135:$D$155,"Annual"),0)),"")</f>
        <v>50</v>
      </c>
      <c r="N169" s="223">
        <f>IFERROR(IF(INDEX(Assumptions!$D$135:$D$155,MATCH('Cash flow forecast'!$B169,Assumptions!$A$135:$A$155,0))="Monthly",(SUMIFS(Assumptions!$B$135:$B$155,Assumptions!$A$135:$A$155,'Cash flow forecast'!$B169,Assumptions!$E$135:$E$155,"&lt;="&amp;'Cash flow forecast'!N$5))*(INDEX(Assumptions!$C$135:$C$155,MATCH('Cash flow forecast'!$B169,Assumptions!$A$135:$A$155,0))),IF(OR('Cash flow forecast'!N$5=INDEX(Assumptions!$E$135:$E$155,MATCH('Cash flow forecast'!$B169,Assumptions!$A$135:$A$155,0)),'Cash flow forecast'!N$5=INDEX(Assumptions!$F$135:$F$155,MATCH('Cash flow forecast'!$B169,Assumptions!$A$135:$A$155,0))),SUMIFS(Assumptions!$B$135:$B$155,Assumptions!$A$135:$A$155,'Cash flow forecast'!$B169,Assumptions!$D$135:$D$155,"Annual"),0)),"")</f>
        <v>50</v>
      </c>
      <c r="O169" s="221">
        <f>IFERROR(IF(INDEX(Assumptions!$D$135:$D$155,MATCH('Cash flow forecast'!$B169,Assumptions!$A$135:$A$155,0))="Monthly",(SUMIFS(Assumptions!$B$135:$B$155,Assumptions!$A$135:$A$155,'Cash flow forecast'!$B169,Assumptions!$E$135:$E$155,"&lt;="&amp;'Cash flow forecast'!O$5))*(INDEX(Assumptions!$C$135:$C$155,MATCH('Cash flow forecast'!$B169,Assumptions!$A$135:$A$155,0))),IF(OR('Cash flow forecast'!O$5=INDEX(Assumptions!$E$135:$E$155,MATCH('Cash flow forecast'!$B169,Assumptions!$A$135:$A$155,0)),'Cash flow forecast'!O$5=INDEX(Assumptions!$F$135:$F$155,MATCH('Cash flow forecast'!$B169,Assumptions!$A$135:$A$155,0))),SUMIFS(Assumptions!$B$135:$B$155,Assumptions!$A$135:$A$155,'Cash flow forecast'!$B169,Assumptions!$D$135:$D$155,"Annual"),0)),"")</f>
        <v>50</v>
      </c>
      <c r="P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forecast'!P$5))*(INDEX(Assumptions!$C$135:$C$155,MATCH('Cash flow forecast'!$B169,Assumptions!$A$135:$A$155,0))),IF(OR('Cash flow forecast'!P$5=INDEX(Assumptions!$E$135:$E$155,MATCH('Cash flow forecast'!$B169,Assumptions!$A$135:$A$155,0)),'Cash flow forecast'!P$5=INDEX(Assumptions!$F$135:$F$155,MATCH('Cash flow forecast'!$B169,Assumptions!$A$135:$A$155,0))),SUMIFS(Assumptions!$B$135:$B$155,Assumptions!$A$135:$A$155,'Cash flow forecast'!$B169,Assumptions!$D$135:$D$155,"Annual"),0)),"")</f>
        <v>50</v>
      </c>
      <c r="Q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forecast'!Q$5))*(INDEX(Assumptions!$C$135:$C$155,MATCH('Cash flow forecast'!$B169,Assumptions!$A$135:$A$155,0))),IF(OR('Cash flow forecast'!Q$5=INDEX(Assumptions!$E$135:$E$155,MATCH('Cash flow forecast'!$B169,Assumptions!$A$135:$A$155,0)),'Cash flow forecast'!Q$5=INDEX(Assumptions!$F$135:$F$155,MATCH('Cash flow forecast'!$B169,Assumptions!$A$135:$A$155,0))),SUMIFS(Assumptions!$B$135:$B$155,Assumptions!$A$135:$A$155,'Cash flow forecast'!$B169,Assumptions!$D$135:$D$155,"Annual"),0)),"")</f>
        <v>50</v>
      </c>
      <c r="R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forecast'!R$5))*(INDEX(Assumptions!$C$135:$C$155,MATCH('Cash flow forecast'!$B169,Assumptions!$A$135:$A$155,0))),IF(OR('Cash flow forecast'!R$5=INDEX(Assumptions!$E$135:$E$155,MATCH('Cash flow forecast'!$B169,Assumptions!$A$135:$A$155,0)),'Cash flow forecast'!R$5=INDEX(Assumptions!$F$135:$F$155,MATCH('Cash flow forecast'!$B169,Assumptions!$A$135:$A$155,0))),SUMIFS(Assumptions!$B$135:$B$155,Assumptions!$A$135:$A$155,'Cash flow forecast'!$B169,Assumptions!$D$135:$D$155,"Annual"),0)),"")</f>
        <v>50</v>
      </c>
      <c r="S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forecast'!S$5))*(INDEX(Assumptions!$C$135:$C$155,MATCH('Cash flow forecast'!$B169,Assumptions!$A$135:$A$155,0))),IF(OR('Cash flow forecast'!S$5=INDEX(Assumptions!$E$135:$E$155,MATCH('Cash flow forecast'!$B169,Assumptions!$A$135:$A$155,0)),'Cash flow forecast'!S$5=INDEX(Assumptions!$F$135:$F$155,MATCH('Cash flow forecast'!$B169,Assumptions!$A$135:$A$155,0))),SUMIFS(Assumptions!$B$135:$B$155,Assumptions!$A$135:$A$155,'Cash flow forecast'!$B169,Assumptions!$D$135:$D$155,"Annual"),0)),"")</f>
        <v>50</v>
      </c>
      <c r="T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forecast'!T$5))*(INDEX(Assumptions!$C$135:$C$155,MATCH('Cash flow forecast'!$B169,Assumptions!$A$135:$A$155,0))),IF(OR('Cash flow forecast'!T$5=INDEX(Assumptions!$E$135:$E$155,MATCH('Cash flow forecast'!$B169,Assumptions!$A$135:$A$155,0)),'Cash flow forecast'!T$5=INDEX(Assumptions!$F$135:$F$155,MATCH('Cash flow forecast'!$B169,Assumptions!$A$135:$A$155,0))),SUMIFS(Assumptions!$B$135:$B$155,Assumptions!$A$135:$A$155,'Cash flow forecast'!$B169,Assumptions!$D$135:$D$155,"Annual"),0)),"")</f>
        <v>50</v>
      </c>
      <c r="U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forecast'!U$5))*(INDEX(Assumptions!$C$135:$C$155,MATCH('Cash flow forecast'!$B169,Assumptions!$A$135:$A$155,0))),IF(OR('Cash flow forecast'!U$5=INDEX(Assumptions!$E$135:$E$155,MATCH('Cash flow forecast'!$B169,Assumptions!$A$135:$A$155,0)),'Cash flow forecast'!U$5=INDEX(Assumptions!$F$135:$F$155,MATCH('Cash flow forecast'!$B169,Assumptions!$A$135:$A$155,0))),SUMIFS(Assumptions!$B$135:$B$155,Assumptions!$A$135:$A$155,'Cash flow forecast'!$B169,Assumptions!$D$135:$D$155,"Annual"),0)),"")</f>
        <v>50</v>
      </c>
      <c r="V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forecast'!V$5))*(INDEX(Assumptions!$C$135:$C$155,MATCH('Cash flow forecast'!$B169,Assumptions!$A$135:$A$155,0))),IF(OR('Cash flow forecast'!V$5=INDEX(Assumptions!$E$135:$E$155,MATCH('Cash flow forecast'!$B169,Assumptions!$A$135:$A$155,0)),'Cash flow forecast'!V$5=INDEX(Assumptions!$F$135:$F$155,MATCH('Cash flow forecast'!$B169,Assumptions!$A$135:$A$155,0))),SUMIFS(Assumptions!$B$135:$B$155,Assumptions!$A$135:$A$155,'Cash flow forecast'!$B169,Assumptions!$D$135:$D$155,"Annual"),0)),"")</f>
        <v>50</v>
      </c>
      <c r="W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forecast'!W$5))*(INDEX(Assumptions!$C$135:$C$155,MATCH('Cash flow forecast'!$B169,Assumptions!$A$135:$A$155,0))),IF(OR('Cash flow forecast'!W$5=INDEX(Assumptions!$E$135:$E$155,MATCH('Cash flow forecast'!$B169,Assumptions!$A$135:$A$155,0)),'Cash flow forecast'!W$5=INDEX(Assumptions!$F$135:$F$155,MATCH('Cash flow forecast'!$B169,Assumptions!$A$135:$A$155,0))),SUMIFS(Assumptions!$B$135:$B$155,Assumptions!$A$135:$A$155,'Cash flow forecast'!$B169,Assumptions!$D$135:$D$155,"Annual"),0)),"")</f>
        <v>50</v>
      </c>
      <c r="X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forecast'!X$5))*(INDEX(Assumptions!$C$135:$C$155,MATCH('Cash flow forecast'!$B169,Assumptions!$A$135:$A$155,0))),IF(OR('Cash flow forecast'!X$5=INDEX(Assumptions!$E$135:$E$155,MATCH('Cash flow forecast'!$B169,Assumptions!$A$135:$A$155,0)),'Cash flow forecast'!X$5=INDEX(Assumptions!$F$135:$F$155,MATCH('Cash flow forecast'!$B169,Assumptions!$A$135:$A$155,0))),SUMIFS(Assumptions!$B$135:$B$155,Assumptions!$A$135:$A$155,'Cash flow forecast'!$B169,Assumptions!$D$135:$D$155,"Annual"),0)),"")</f>
        <v>50</v>
      </c>
      <c r="Y169" s="222">
        <f>IFERROR(IF(INDEX(Assumptions!$D$135:$D$155,MATCH('Cash flow forecast'!$B169,Assumptions!$A$135:$A$155,0))="Monthly",(SUMIFS(Assumptions!$B$135:$B$155,Assumptions!$A$135:$A$155,'Cash flow forecast'!$B169,Assumptions!$E$135:$E$155,"&lt;="&amp;'Cash flow forecast'!Y$5))*(INDEX(Assumptions!$C$135:$C$155,MATCH('Cash flow forecast'!$B169,Assumptions!$A$135:$A$155,0))),IF(OR('Cash flow forecast'!Y$5=INDEX(Assumptions!$E$135:$E$155,MATCH('Cash flow forecast'!$B169,Assumptions!$A$135:$A$155,0)),'Cash flow forecast'!Y$5=INDEX(Assumptions!$F$135:$F$155,MATCH('Cash flow forecast'!$B169,Assumptions!$A$135:$A$155,0))),SUMIFS(Assumptions!$B$135:$B$155,Assumptions!$A$135:$A$155,'Cash flow forecast'!$B169,Assumptions!$D$135:$D$155,"Annual"),0)),"")</f>
        <v>50</v>
      </c>
      <c r="Z169" s="223">
        <f>IFERROR(IF(INDEX(Assumptions!$D$135:$D$155,MATCH('Cash flow forecast'!$B169,Assumptions!$A$135:$A$155,0))="Monthly",(SUMIFS(Assumptions!$B$135:$B$155,Assumptions!$A$135:$A$155,'Cash flow forecast'!$B169,Assumptions!$E$135:$E$155,"&lt;="&amp;'Cash flow forecast'!Z$5))*(INDEX(Assumptions!$C$135:$C$155,MATCH('Cash flow forecast'!$B169,Assumptions!$A$135:$A$155,0))),IF(OR('Cash flow forecast'!Z$5=INDEX(Assumptions!$E$135:$E$155,MATCH('Cash flow forecast'!$B169,Assumptions!$A$135:$A$155,0)),'Cash flow forecast'!Z$5=INDEX(Assumptions!$F$135:$F$155,MATCH('Cash flow forecast'!$B169,Assumptions!$A$135:$A$155,0))),SUMIFS(Assumptions!$B$135:$B$155,Assumptions!$A$135:$A$155,'Cash flow forecast'!$B169,Assumptions!$D$135:$D$155,"Annual"),0)),"")</f>
        <v>50</v>
      </c>
      <c r="AA169" s="221">
        <f t="shared" si="172"/>
        <v>150</v>
      </c>
      <c r="AB169" s="224">
        <f t="shared" si="172"/>
        <v>150</v>
      </c>
      <c r="AC169" s="224">
        <f t="shared" si="172"/>
        <v>150</v>
      </c>
      <c r="AD169" s="224">
        <f t="shared" si="172"/>
        <v>150</v>
      </c>
      <c r="AE169" s="225">
        <f t="shared" si="173"/>
        <v>600</v>
      </c>
      <c r="AF169" s="221">
        <f t="shared" si="176"/>
        <v>150</v>
      </c>
      <c r="AG169" s="224">
        <f t="shared" si="174"/>
        <v>150</v>
      </c>
      <c r="AH169" s="224">
        <f t="shared" si="174"/>
        <v>150</v>
      </c>
      <c r="AI169" s="223">
        <f t="shared" si="174"/>
        <v>150</v>
      </c>
      <c r="AJ169" s="225">
        <f t="shared" si="177"/>
        <v>600</v>
      </c>
      <c r="AK169" s="243">
        <f t="shared" si="175"/>
        <v>1.1737698894818702E-3</v>
      </c>
    </row>
    <row r="170" spans="2:37" ht="22.15" hidden="1" customHeight="1" outlineLevel="1" x14ac:dyDescent="0.25">
      <c r="B170" s="91" t="str">
        <f>IF(Assumptions!$A147="","",Assumptions!$A147)</f>
        <v>Test 13</v>
      </c>
      <c r="C170" s="221">
        <f>IFERROR(IF(INDEX(Assumptions!$D$135:$D$155,MATCH('Cash flow forecast'!$B170,Assumptions!$A$135:$A$155,0))="Monthly",(SUMIFS(Assumptions!$B$135:$B$155,Assumptions!$A$135:$A$155,'Cash flow forecast'!$B170,Assumptions!$E$135:$E$155,"&lt;="&amp;'Cash flow forecast'!C$5))*(INDEX(Assumptions!$C$135:$C$155,MATCH('Cash flow forecast'!$B170,Assumptions!$A$135:$A$155,0))),IF(OR('Cash flow forecast'!C$5=INDEX(Assumptions!$E$135:$E$155,MATCH('Cash flow forecast'!$B170,Assumptions!$A$135:$A$155,0)),'Cash flow forecast'!C$5=INDEX(Assumptions!$F$135:$F$155,MATCH('Cash flow forecast'!$B170,Assumptions!$A$135:$A$155,0))),SUMIFS(Assumptions!$B$135:$B$155,Assumptions!$A$135:$A$155,'Cash flow forecast'!$B170,Assumptions!$D$135:$D$155,"Annual"),0)),"")</f>
        <v>0</v>
      </c>
      <c r="D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forecast'!D$5))*(INDEX(Assumptions!$C$135:$C$155,MATCH('Cash flow forecast'!$B170,Assumptions!$A$135:$A$155,0))),IF(OR('Cash flow forecast'!D$5=INDEX(Assumptions!$E$135:$E$155,MATCH('Cash flow forecast'!$B170,Assumptions!$A$135:$A$155,0)),'Cash flow forecast'!D$5=INDEX(Assumptions!$F$135:$F$155,MATCH('Cash flow forecast'!$B170,Assumptions!$A$135:$A$155,0))),SUMIFS(Assumptions!$B$135:$B$155,Assumptions!$A$135:$A$155,'Cash flow forecast'!$B170,Assumptions!$D$135:$D$155,"Annual"),0)),"")</f>
        <v>0</v>
      </c>
      <c r="E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forecast'!E$5))*(INDEX(Assumptions!$C$135:$C$155,MATCH('Cash flow forecast'!$B170,Assumptions!$A$135:$A$155,0))),IF(OR('Cash flow forecast'!E$5=INDEX(Assumptions!$E$135:$E$155,MATCH('Cash flow forecast'!$B170,Assumptions!$A$135:$A$155,0)),'Cash flow forecast'!E$5=INDEX(Assumptions!$F$135:$F$155,MATCH('Cash flow forecast'!$B170,Assumptions!$A$135:$A$155,0))),SUMIFS(Assumptions!$B$135:$B$155,Assumptions!$A$135:$A$155,'Cash flow forecast'!$B170,Assumptions!$D$135:$D$155,"Annual"),0)),"")</f>
        <v>0</v>
      </c>
      <c r="F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forecast'!F$5))*(INDEX(Assumptions!$C$135:$C$155,MATCH('Cash flow forecast'!$B170,Assumptions!$A$135:$A$155,0))),IF(OR('Cash flow forecast'!F$5=INDEX(Assumptions!$E$135:$E$155,MATCH('Cash flow forecast'!$B170,Assumptions!$A$135:$A$155,0)),'Cash flow forecast'!F$5=INDEX(Assumptions!$F$135:$F$155,MATCH('Cash flow forecast'!$B170,Assumptions!$A$135:$A$155,0))),SUMIFS(Assumptions!$B$135:$B$155,Assumptions!$A$135:$A$155,'Cash flow forecast'!$B170,Assumptions!$D$135:$D$155,"Annual"),0)),"")</f>
        <v>0</v>
      </c>
      <c r="G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forecast'!G$5))*(INDEX(Assumptions!$C$135:$C$155,MATCH('Cash flow forecast'!$B170,Assumptions!$A$135:$A$155,0))),IF(OR('Cash flow forecast'!G$5=INDEX(Assumptions!$E$135:$E$155,MATCH('Cash flow forecast'!$B170,Assumptions!$A$135:$A$155,0)),'Cash flow forecast'!G$5=INDEX(Assumptions!$F$135:$F$155,MATCH('Cash flow forecast'!$B170,Assumptions!$A$135:$A$155,0))),SUMIFS(Assumptions!$B$135:$B$155,Assumptions!$A$135:$A$155,'Cash flow forecast'!$B170,Assumptions!$D$135:$D$155,"Annual"),0)),"")</f>
        <v>0</v>
      </c>
      <c r="H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forecast'!H$5))*(INDEX(Assumptions!$C$135:$C$155,MATCH('Cash flow forecast'!$B170,Assumptions!$A$135:$A$155,0))),IF(OR('Cash flow forecast'!H$5=INDEX(Assumptions!$E$135:$E$155,MATCH('Cash flow forecast'!$B170,Assumptions!$A$135:$A$155,0)),'Cash flow forecast'!H$5=INDEX(Assumptions!$F$135:$F$155,MATCH('Cash flow forecast'!$B170,Assumptions!$A$135:$A$155,0))),SUMIFS(Assumptions!$B$135:$B$155,Assumptions!$A$135:$A$155,'Cash flow forecast'!$B170,Assumptions!$D$135:$D$155,"Annual"),0)),"")</f>
        <v>0</v>
      </c>
      <c r="I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forecast'!I$5))*(INDEX(Assumptions!$C$135:$C$155,MATCH('Cash flow forecast'!$B170,Assumptions!$A$135:$A$155,0))),IF(OR('Cash flow forecast'!I$5=INDEX(Assumptions!$E$135:$E$155,MATCH('Cash flow forecast'!$B170,Assumptions!$A$135:$A$155,0)),'Cash flow forecast'!I$5=INDEX(Assumptions!$F$135:$F$155,MATCH('Cash flow forecast'!$B170,Assumptions!$A$135:$A$155,0))),SUMIFS(Assumptions!$B$135:$B$155,Assumptions!$A$135:$A$155,'Cash flow forecast'!$B170,Assumptions!$D$135:$D$155,"Annual"),0)),"")</f>
        <v>0</v>
      </c>
      <c r="J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forecast'!J$5))*(INDEX(Assumptions!$C$135:$C$155,MATCH('Cash flow forecast'!$B170,Assumptions!$A$135:$A$155,0))),IF(OR('Cash flow forecast'!J$5=INDEX(Assumptions!$E$135:$E$155,MATCH('Cash flow forecast'!$B170,Assumptions!$A$135:$A$155,0)),'Cash flow forecast'!J$5=INDEX(Assumptions!$F$135:$F$155,MATCH('Cash flow forecast'!$B170,Assumptions!$A$135:$A$155,0))),SUMIFS(Assumptions!$B$135:$B$155,Assumptions!$A$135:$A$155,'Cash flow forecast'!$B170,Assumptions!$D$135:$D$155,"Annual"),0)),"")</f>
        <v>0</v>
      </c>
      <c r="K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forecast'!K$5))*(INDEX(Assumptions!$C$135:$C$155,MATCH('Cash flow forecast'!$B170,Assumptions!$A$135:$A$155,0))),IF(OR('Cash flow forecast'!K$5=INDEX(Assumptions!$E$135:$E$155,MATCH('Cash flow forecast'!$B170,Assumptions!$A$135:$A$155,0)),'Cash flow forecast'!K$5=INDEX(Assumptions!$F$135:$F$155,MATCH('Cash flow forecast'!$B170,Assumptions!$A$135:$A$155,0))),SUMIFS(Assumptions!$B$135:$B$155,Assumptions!$A$135:$A$155,'Cash flow forecast'!$B170,Assumptions!$D$135:$D$155,"Annual"),0)),"")</f>
        <v>0</v>
      </c>
      <c r="L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forecast'!L$5))*(INDEX(Assumptions!$C$135:$C$155,MATCH('Cash flow forecast'!$B170,Assumptions!$A$135:$A$155,0))),IF(OR('Cash flow forecast'!L$5=INDEX(Assumptions!$E$135:$E$155,MATCH('Cash flow forecast'!$B170,Assumptions!$A$135:$A$155,0)),'Cash flow forecast'!L$5=INDEX(Assumptions!$F$135:$F$155,MATCH('Cash flow forecast'!$B170,Assumptions!$A$135:$A$155,0))),SUMIFS(Assumptions!$B$135:$B$155,Assumptions!$A$135:$A$155,'Cash flow forecast'!$B170,Assumptions!$D$135:$D$155,"Annual"),0)),"")</f>
        <v>0</v>
      </c>
      <c r="M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forecast'!M$5))*(INDEX(Assumptions!$C$135:$C$155,MATCH('Cash flow forecast'!$B170,Assumptions!$A$135:$A$155,0))),IF(OR('Cash flow forecast'!M$5=INDEX(Assumptions!$E$135:$E$155,MATCH('Cash flow forecast'!$B170,Assumptions!$A$135:$A$155,0)),'Cash flow forecast'!M$5=INDEX(Assumptions!$F$135:$F$155,MATCH('Cash flow forecast'!$B170,Assumptions!$A$135:$A$155,0))),SUMIFS(Assumptions!$B$135:$B$155,Assumptions!$A$135:$A$155,'Cash flow forecast'!$B170,Assumptions!$D$135:$D$155,"Annual"),0)),"")</f>
        <v>0</v>
      </c>
      <c r="N170" s="223">
        <f>IFERROR(IF(INDEX(Assumptions!$D$135:$D$155,MATCH('Cash flow forecast'!$B170,Assumptions!$A$135:$A$155,0))="Monthly",(SUMIFS(Assumptions!$B$135:$B$155,Assumptions!$A$135:$A$155,'Cash flow forecast'!$B170,Assumptions!$E$135:$E$155,"&lt;="&amp;'Cash flow forecast'!N$5))*(INDEX(Assumptions!$C$135:$C$155,MATCH('Cash flow forecast'!$B170,Assumptions!$A$135:$A$155,0))),IF(OR('Cash flow forecast'!N$5=INDEX(Assumptions!$E$135:$E$155,MATCH('Cash flow forecast'!$B170,Assumptions!$A$135:$A$155,0)),'Cash flow forecast'!N$5=INDEX(Assumptions!$F$135:$F$155,MATCH('Cash flow forecast'!$B170,Assumptions!$A$135:$A$155,0))),SUMIFS(Assumptions!$B$135:$B$155,Assumptions!$A$135:$A$155,'Cash flow forecast'!$B170,Assumptions!$D$135:$D$155,"Annual"),0)),"")</f>
        <v>0</v>
      </c>
      <c r="O170" s="221">
        <f>IFERROR(IF(INDEX(Assumptions!$D$135:$D$155,MATCH('Cash flow forecast'!$B170,Assumptions!$A$135:$A$155,0))="Monthly",(SUMIFS(Assumptions!$B$135:$B$155,Assumptions!$A$135:$A$155,'Cash flow forecast'!$B170,Assumptions!$E$135:$E$155,"&lt;="&amp;'Cash flow forecast'!O$5))*(INDEX(Assumptions!$C$135:$C$155,MATCH('Cash flow forecast'!$B170,Assumptions!$A$135:$A$155,0))),IF(OR('Cash flow forecast'!O$5=INDEX(Assumptions!$E$135:$E$155,MATCH('Cash flow forecast'!$B170,Assumptions!$A$135:$A$155,0)),'Cash flow forecast'!O$5=INDEX(Assumptions!$F$135:$F$155,MATCH('Cash flow forecast'!$B170,Assumptions!$A$135:$A$155,0))),SUMIFS(Assumptions!$B$135:$B$155,Assumptions!$A$135:$A$155,'Cash flow forecast'!$B170,Assumptions!$D$135:$D$155,"Annual"),0)),"")</f>
        <v>0</v>
      </c>
      <c r="P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forecast'!P$5))*(INDEX(Assumptions!$C$135:$C$155,MATCH('Cash flow forecast'!$B170,Assumptions!$A$135:$A$155,0))),IF(OR('Cash flow forecast'!P$5=INDEX(Assumptions!$E$135:$E$155,MATCH('Cash flow forecast'!$B170,Assumptions!$A$135:$A$155,0)),'Cash flow forecast'!P$5=INDEX(Assumptions!$F$135:$F$155,MATCH('Cash flow forecast'!$B170,Assumptions!$A$135:$A$155,0))),SUMIFS(Assumptions!$B$135:$B$155,Assumptions!$A$135:$A$155,'Cash flow forecast'!$B170,Assumptions!$D$135:$D$155,"Annual"),0)),"")</f>
        <v>0</v>
      </c>
      <c r="Q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forecast'!Q$5))*(INDEX(Assumptions!$C$135:$C$155,MATCH('Cash flow forecast'!$B170,Assumptions!$A$135:$A$155,0))),IF(OR('Cash flow forecast'!Q$5=INDEX(Assumptions!$E$135:$E$155,MATCH('Cash flow forecast'!$B170,Assumptions!$A$135:$A$155,0)),'Cash flow forecast'!Q$5=INDEX(Assumptions!$F$135:$F$155,MATCH('Cash flow forecast'!$B170,Assumptions!$A$135:$A$155,0))),SUMIFS(Assumptions!$B$135:$B$155,Assumptions!$A$135:$A$155,'Cash flow forecast'!$B170,Assumptions!$D$135:$D$155,"Annual"),0)),"")</f>
        <v>0</v>
      </c>
      <c r="R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forecast'!R$5))*(INDEX(Assumptions!$C$135:$C$155,MATCH('Cash flow forecast'!$B170,Assumptions!$A$135:$A$155,0))),IF(OR('Cash flow forecast'!R$5=INDEX(Assumptions!$E$135:$E$155,MATCH('Cash flow forecast'!$B170,Assumptions!$A$135:$A$155,0)),'Cash flow forecast'!R$5=INDEX(Assumptions!$F$135:$F$155,MATCH('Cash flow forecast'!$B170,Assumptions!$A$135:$A$155,0))),SUMIFS(Assumptions!$B$135:$B$155,Assumptions!$A$135:$A$155,'Cash flow forecast'!$B170,Assumptions!$D$135:$D$155,"Annual"),0)),"")</f>
        <v>0</v>
      </c>
      <c r="S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forecast'!S$5))*(INDEX(Assumptions!$C$135:$C$155,MATCH('Cash flow forecast'!$B170,Assumptions!$A$135:$A$155,0))),IF(OR('Cash flow forecast'!S$5=INDEX(Assumptions!$E$135:$E$155,MATCH('Cash flow forecast'!$B170,Assumptions!$A$135:$A$155,0)),'Cash flow forecast'!S$5=INDEX(Assumptions!$F$135:$F$155,MATCH('Cash flow forecast'!$B170,Assumptions!$A$135:$A$155,0))),SUMIFS(Assumptions!$B$135:$B$155,Assumptions!$A$135:$A$155,'Cash flow forecast'!$B170,Assumptions!$D$135:$D$155,"Annual"),0)),"")</f>
        <v>0</v>
      </c>
      <c r="T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forecast'!T$5))*(INDEX(Assumptions!$C$135:$C$155,MATCH('Cash flow forecast'!$B170,Assumptions!$A$135:$A$155,0))),IF(OR('Cash flow forecast'!T$5=INDEX(Assumptions!$E$135:$E$155,MATCH('Cash flow forecast'!$B170,Assumptions!$A$135:$A$155,0)),'Cash flow forecast'!T$5=INDEX(Assumptions!$F$135:$F$155,MATCH('Cash flow forecast'!$B170,Assumptions!$A$135:$A$155,0))),SUMIFS(Assumptions!$B$135:$B$155,Assumptions!$A$135:$A$155,'Cash flow forecast'!$B170,Assumptions!$D$135:$D$155,"Annual"),0)),"")</f>
        <v>0</v>
      </c>
      <c r="U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forecast'!U$5))*(INDEX(Assumptions!$C$135:$C$155,MATCH('Cash flow forecast'!$B170,Assumptions!$A$135:$A$155,0))),IF(OR('Cash flow forecast'!U$5=INDEX(Assumptions!$E$135:$E$155,MATCH('Cash flow forecast'!$B170,Assumptions!$A$135:$A$155,0)),'Cash flow forecast'!U$5=INDEX(Assumptions!$F$135:$F$155,MATCH('Cash flow forecast'!$B170,Assumptions!$A$135:$A$155,0))),SUMIFS(Assumptions!$B$135:$B$155,Assumptions!$A$135:$A$155,'Cash flow forecast'!$B170,Assumptions!$D$135:$D$155,"Annual"),0)),"")</f>
        <v>0</v>
      </c>
      <c r="V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forecast'!V$5))*(INDEX(Assumptions!$C$135:$C$155,MATCH('Cash flow forecast'!$B170,Assumptions!$A$135:$A$155,0))),IF(OR('Cash flow forecast'!V$5=INDEX(Assumptions!$E$135:$E$155,MATCH('Cash flow forecast'!$B170,Assumptions!$A$135:$A$155,0)),'Cash flow forecast'!V$5=INDEX(Assumptions!$F$135:$F$155,MATCH('Cash flow forecast'!$B170,Assumptions!$A$135:$A$155,0))),SUMIFS(Assumptions!$B$135:$B$155,Assumptions!$A$135:$A$155,'Cash flow forecast'!$B170,Assumptions!$D$135:$D$155,"Annual"),0)),"")</f>
        <v>0</v>
      </c>
      <c r="W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forecast'!W$5))*(INDEX(Assumptions!$C$135:$C$155,MATCH('Cash flow forecast'!$B170,Assumptions!$A$135:$A$155,0))),IF(OR('Cash flow forecast'!W$5=INDEX(Assumptions!$E$135:$E$155,MATCH('Cash flow forecast'!$B170,Assumptions!$A$135:$A$155,0)),'Cash flow forecast'!W$5=INDEX(Assumptions!$F$135:$F$155,MATCH('Cash flow forecast'!$B170,Assumptions!$A$135:$A$155,0))),SUMIFS(Assumptions!$B$135:$B$155,Assumptions!$A$135:$A$155,'Cash flow forecast'!$B170,Assumptions!$D$135:$D$155,"Annual"),0)),"")</f>
        <v>0</v>
      </c>
      <c r="X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forecast'!X$5))*(INDEX(Assumptions!$C$135:$C$155,MATCH('Cash flow forecast'!$B170,Assumptions!$A$135:$A$155,0))),IF(OR('Cash flow forecast'!X$5=INDEX(Assumptions!$E$135:$E$155,MATCH('Cash flow forecast'!$B170,Assumptions!$A$135:$A$155,0)),'Cash flow forecast'!X$5=INDEX(Assumptions!$F$135:$F$155,MATCH('Cash flow forecast'!$B170,Assumptions!$A$135:$A$155,0))),SUMIFS(Assumptions!$B$135:$B$155,Assumptions!$A$135:$A$155,'Cash flow forecast'!$B170,Assumptions!$D$135:$D$155,"Annual"),0)),"")</f>
        <v>0</v>
      </c>
      <c r="Y170" s="222">
        <f>IFERROR(IF(INDEX(Assumptions!$D$135:$D$155,MATCH('Cash flow forecast'!$B170,Assumptions!$A$135:$A$155,0))="Monthly",(SUMIFS(Assumptions!$B$135:$B$155,Assumptions!$A$135:$A$155,'Cash flow forecast'!$B170,Assumptions!$E$135:$E$155,"&lt;="&amp;'Cash flow forecast'!Y$5))*(INDEX(Assumptions!$C$135:$C$155,MATCH('Cash flow forecast'!$B170,Assumptions!$A$135:$A$155,0))),IF(OR('Cash flow forecast'!Y$5=INDEX(Assumptions!$E$135:$E$155,MATCH('Cash flow forecast'!$B170,Assumptions!$A$135:$A$155,0)),'Cash flow forecast'!Y$5=INDEX(Assumptions!$F$135:$F$155,MATCH('Cash flow forecast'!$B170,Assumptions!$A$135:$A$155,0))),SUMIFS(Assumptions!$B$135:$B$155,Assumptions!$A$135:$A$155,'Cash flow forecast'!$B170,Assumptions!$D$135:$D$155,"Annual"),0)),"")</f>
        <v>0</v>
      </c>
      <c r="Z170" s="223">
        <f>IFERROR(IF(INDEX(Assumptions!$D$135:$D$155,MATCH('Cash flow forecast'!$B170,Assumptions!$A$135:$A$155,0))="Monthly",(SUMIFS(Assumptions!$B$135:$B$155,Assumptions!$A$135:$A$155,'Cash flow forecast'!$B170,Assumptions!$E$135:$E$155,"&lt;="&amp;'Cash flow forecast'!Z$5))*(INDEX(Assumptions!$C$135:$C$155,MATCH('Cash flow forecast'!$B170,Assumptions!$A$135:$A$155,0))),IF(OR('Cash flow forecast'!Z$5=INDEX(Assumptions!$E$135:$E$155,MATCH('Cash flow forecast'!$B170,Assumptions!$A$135:$A$155,0)),'Cash flow forecast'!Z$5=INDEX(Assumptions!$F$135:$F$155,MATCH('Cash flow forecast'!$B170,Assumptions!$A$135:$A$155,0))),SUMIFS(Assumptions!$B$135:$B$155,Assumptions!$A$135:$A$155,'Cash flow forecast'!$B170,Assumptions!$D$135:$D$155,"Annual"),0)),"")</f>
        <v>0</v>
      </c>
      <c r="AA170" s="221">
        <f t="shared" si="172"/>
        <v>0</v>
      </c>
      <c r="AB170" s="224">
        <f t="shared" si="172"/>
        <v>0</v>
      </c>
      <c r="AC170" s="224">
        <f t="shared" si="172"/>
        <v>0</v>
      </c>
      <c r="AD170" s="224">
        <f t="shared" si="172"/>
        <v>0</v>
      </c>
      <c r="AE170" s="225">
        <f t="shared" si="173"/>
        <v>0</v>
      </c>
      <c r="AF170" s="221">
        <f t="shared" si="176"/>
        <v>0</v>
      </c>
      <c r="AG170" s="224">
        <f t="shared" si="174"/>
        <v>0</v>
      </c>
      <c r="AH170" s="224">
        <f t="shared" si="174"/>
        <v>0</v>
      </c>
      <c r="AI170" s="223">
        <f t="shared" si="174"/>
        <v>0</v>
      </c>
      <c r="AJ170" s="225">
        <f t="shared" si="177"/>
        <v>0</v>
      </c>
      <c r="AK170" s="243">
        <f t="shared" si="175"/>
        <v>0</v>
      </c>
    </row>
    <row r="171" spans="2:37" ht="22.15" hidden="1" customHeight="1" outlineLevel="1" x14ac:dyDescent="0.25">
      <c r="B171" s="91" t="str">
        <f>IF(Assumptions!$A148="","",Assumptions!$A148)</f>
        <v>Test 14</v>
      </c>
      <c r="C171" s="221">
        <f>IFERROR(IF(INDEX(Assumptions!$D$135:$D$155,MATCH('Cash flow forecast'!$B171,Assumptions!$A$135:$A$155,0))="Monthly",(SUMIFS(Assumptions!$B$135:$B$155,Assumptions!$A$135:$A$155,'Cash flow forecast'!$B171,Assumptions!$E$135:$E$155,"&lt;="&amp;'Cash flow forecast'!C$5))*(INDEX(Assumptions!$C$135:$C$155,MATCH('Cash flow forecast'!$B171,Assumptions!$A$135:$A$155,0))),IF(OR('Cash flow forecast'!C$5=INDEX(Assumptions!$E$135:$E$155,MATCH('Cash flow forecast'!$B171,Assumptions!$A$135:$A$155,0)),'Cash flow forecast'!C$5=INDEX(Assumptions!$F$135:$F$155,MATCH('Cash flow forecast'!$B171,Assumptions!$A$135:$A$155,0))),SUMIFS(Assumptions!$B$135:$B$155,Assumptions!$A$135:$A$155,'Cash flow forecast'!$B171,Assumptions!$D$135:$D$155,"Annual"),0)),"")</f>
        <v>73.55</v>
      </c>
      <c r="D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forecast'!D$5))*(INDEX(Assumptions!$C$135:$C$155,MATCH('Cash flow forecast'!$B171,Assumptions!$A$135:$A$155,0))),IF(OR('Cash flow forecast'!D$5=INDEX(Assumptions!$E$135:$E$155,MATCH('Cash flow forecast'!$B171,Assumptions!$A$135:$A$155,0)),'Cash flow forecast'!D$5=INDEX(Assumptions!$F$135:$F$155,MATCH('Cash flow forecast'!$B171,Assumptions!$A$135:$A$155,0))),SUMIFS(Assumptions!$B$135:$B$155,Assumptions!$A$135:$A$155,'Cash flow forecast'!$B171,Assumptions!$D$135:$D$155,"Annual"),0)),"")</f>
        <v>73.55</v>
      </c>
      <c r="E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forecast'!E$5))*(INDEX(Assumptions!$C$135:$C$155,MATCH('Cash flow forecast'!$B171,Assumptions!$A$135:$A$155,0))),IF(OR('Cash flow forecast'!E$5=INDEX(Assumptions!$E$135:$E$155,MATCH('Cash flow forecast'!$B171,Assumptions!$A$135:$A$155,0)),'Cash flow forecast'!E$5=INDEX(Assumptions!$F$135:$F$155,MATCH('Cash flow forecast'!$B171,Assumptions!$A$135:$A$155,0))),SUMIFS(Assumptions!$B$135:$B$155,Assumptions!$A$135:$A$155,'Cash flow forecast'!$B171,Assumptions!$D$135:$D$155,"Annual"),0)),"")</f>
        <v>73.55</v>
      </c>
      <c r="F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forecast'!F$5))*(INDEX(Assumptions!$C$135:$C$155,MATCH('Cash flow forecast'!$B171,Assumptions!$A$135:$A$155,0))),IF(OR('Cash flow forecast'!F$5=INDEX(Assumptions!$E$135:$E$155,MATCH('Cash flow forecast'!$B171,Assumptions!$A$135:$A$155,0)),'Cash flow forecast'!F$5=INDEX(Assumptions!$F$135:$F$155,MATCH('Cash flow forecast'!$B171,Assumptions!$A$135:$A$155,0))),SUMIFS(Assumptions!$B$135:$B$155,Assumptions!$A$135:$A$155,'Cash flow forecast'!$B171,Assumptions!$D$135:$D$155,"Annual"),0)),"")</f>
        <v>73.55</v>
      </c>
      <c r="G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forecast'!G$5))*(INDEX(Assumptions!$C$135:$C$155,MATCH('Cash flow forecast'!$B171,Assumptions!$A$135:$A$155,0))),IF(OR('Cash flow forecast'!G$5=INDEX(Assumptions!$E$135:$E$155,MATCH('Cash flow forecast'!$B171,Assumptions!$A$135:$A$155,0)),'Cash flow forecast'!G$5=INDEX(Assumptions!$F$135:$F$155,MATCH('Cash flow forecast'!$B171,Assumptions!$A$135:$A$155,0))),SUMIFS(Assumptions!$B$135:$B$155,Assumptions!$A$135:$A$155,'Cash flow forecast'!$B171,Assumptions!$D$135:$D$155,"Annual"),0)),"")</f>
        <v>73.55</v>
      </c>
      <c r="H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forecast'!H$5))*(INDEX(Assumptions!$C$135:$C$155,MATCH('Cash flow forecast'!$B171,Assumptions!$A$135:$A$155,0))),IF(OR('Cash flow forecast'!H$5=INDEX(Assumptions!$E$135:$E$155,MATCH('Cash flow forecast'!$B171,Assumptions!$A$135:$A$155,0)),'Cash flow forecast'!H$5=INDEX(Assumptions!$F$135:$F$155,MATCH('Cash flow forecast'!$B171,Assumptions!$A$135:$A$155,0))),SUMIFS(Assumptions!$B$135:$B$155,Assumptions!$A$135:$A$155,'Cash flow forecast'!$B171,Assumptions!$D$135:$D$155,"Annual"),0)),"")</f>
        <v>73.55</v>
      </c>
      <c r="I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forecast'!I$5))*(INDEX(Assumptions!$C$135:$C$155,MATCH('Cash flow forecast'!$B171,Assumptions!$A$135:$A$155,0))),IF(OR('Cash flow forecast'!I$5=INDEX(Assumptions!$E$135:$E$155,MATCH('Cash flow forecast'!$B171,Assumptions!$A$135:$A$155,0)),'Cash flow forecast'!I$5=INDEX(Assumptions!$F$135:$F$155,MATCH('Cash flow forecast'!$B171,Assumptions!$A$135:$A$155,0))),SUMIFS(Assumptions!$B$135:$B$155,Assumptions!$A$135:$A$155,'Cash flow forecast'!$B171,Assumptions!$D$135:$D$155,"Annual"),0)),"")</f>
        <v>73.55</v>
      </c>
      <c r="J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forecast'!J$5))*(INDEX(Assumptions!$C$135:$C$155,MATCH('Cash flow forecast'!$B171,Assumptions!$A$135:$A$155,0))),IF(OR('Cash flow forecast'!J$5=INDEX(Assumptions!$E$135:$E$155,MATCH('Cash flow forecast'!$B171,Assumptions!$A$135:$A$155,0)),'Cash flow forecast'!J$5=INDEX(Assumptions!$F$135:$F$155,MATCH('Cash flow forecast'!$B171,Assumptions!$A$135:$A$155,0))),SUMIFS(Assumptions!$B$135:$B$155,Assumptions!$A$135:$A$155,'Cash flow forecast'!$B171,Assumptions!$D$135:$D$155,"Annual"),0)),"")</f>
        <v>73.55</v>
      </c>
      <c r="K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forecast'!K$5))*(INDEX(Assumptions!$C$135:$C$155,MATCH('Cash flow forecast'!$B171,Assumptions!$A$135:$A$155,0))),IF(OR('Cash flow forecast'!K$5=INDEX(Assumptions!$E$135:$E$155,MATCH('Cash flow forecast'!$B171,Assumptions!$A$135:$A$155,0)),'Cash flow forecast'!K$5=INDEX(Assumptions!$F$135:$F$155,MATCH('Cash flow forecast'!$B171,Assumptions!$A$135:$A$155,0))),SUMIFS(Assumptions!$B$135:$B$155,Assumptions!$A$135:$A$155,'Cash flow forecast'!$B171,Assumptions!$D$135:$D$155,"Annual"),0)),"")</f>
        <v>73.55</v>
      </c>
      <c r="L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forecast'!L$5))*(INDEX(Assumptions!$C$135:$C$155,MATCH('Cash flow forecast'!$B171,Assumptions!$A$135:$A$155,0))),IF(OR('Cash flow forecast'!L$5=INDEX(Assumptions!$E$135:$E$155,MATCH('Cash flow forecast'!$B171,Assumptions!$A$135:$A$155,0)),'Cash flow forecast'!L$5=INDEX(Assumptions!$F$135:$F$155,MATCH('Cash flow forecast'!$B171,Assumptions!$A$135:$A$155,0))),SUMIFS(Assumptions!$B$135:$B$155,Assumptions!$A$135:$A$155,'Cash flow forecast'!$B171,Assumptions!$D$135:$D$155,"Annual"),0)),"")</f>
        <v>73.55</v>
      </c>
      <c r="M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forecast'!M$5))*(INDEX(Assumptions!$C$135:$C$155,MATCH('Cash flow forecast'!$B171,Assumptions!$A$135:$A$155,0))),IF(OR('Cash flow forecast'!M$5=INDEX(Assumptions!$E$135:$E$155,MATCH('Cash flow forecast'!$B171,Assumptions!$A$135:$A$155,0)),'Cash flow forecast'!M$5=INDEX(Assumptions!$F$135:$F$155,MATCH('Cash flow forecast'!$B171,Assumptions!$A$135:$A$155,0))),SUMIFS(Assumptions!$B$135:$B$155,Assumptions!$A$135:$A$155,'Cash flow forecast'!$B171,Assumptions!$D$135:$D$155,"Annual"),0)),"")</f>
        <v>73.55</v>
      </c>
      <c r="N171" s="223">
        <f>IFERROR(IF(INDEX(Assumptions!$D$135:$D$155,MATCH('Cash flow forecast'!$B171,Assumptions!$A$135:$A$155,0))="Monthly",(SUMIFS(Assumptions!$B$135:$B$155,Assumptions!$A$135:$A$155,'Cash flow forecast'!$B171,Assumptions!$E$135:$E$155,"&lt;="&amp;'Cash flow forecast'!N$5))*(INDEX(Assumptions!$C$135:$C$155,MATCH('Cash flow forecast'!$B171,Assumptions!$A$135:$A$155,0))),IF(OR('Cash flow forecast'!N$5=INDEX(Assumptions!$E$135:$E$155,MATCH('Cash flow forecast'!$B171,Assumptions!$A$135:$A$155,0)),'Cash flow forecast'!N$5=INDEX(Assumptions!$F$135:$F$155,MATCH('Cash flow forecast'!$B171,Assumptions!$A$135:$A$155,0))),SUMIFS(Assumptions!$B$135:$B$155,Assumptions!$A$135:$A$155,'Cash flow forecast'!$B171,Assumptions!$D$135:$D$155,"Annual"),0)),"")</f>
        <v>73.55</v>
      </c>
      <c r="O171" s="221">
        <f>IFERROR(IF(INDEX(Assumptions!$D$135:$D$155,MATCH('Cash flow forecast'!$B171,Assumptions!$A$135:$A$155,0))="Monthly",(SUMIFS(Assumptions!$B$135:$B$155,Assumptions!$A$135:$A$155,'Cash flow forecast'!$B171,Assumptions!$E$135:$E$155,"&lt;="&amp;'Cash flow forecast'!O$5))*(INDEX(Assumptions!$C$135:$C$155,MATCH('Cash flow forecast'!$B171,Assumptions!$A$135:$A$155,0))),IF(OR('Cash flow forecast'!O$5=INDEX(Assumptions!$E$135:$E$155,MATCH('Cash flow forecast'!$B171,Assumptions!$A$135:$A$155,0)),'Cash flow forecast'!O$5=INDEX(Assumptions!$F$135:$F$155,MATCH('Cash flow forecast'!$B171,Assumptions!$A$135:$A$155,0))),SUMIFS(Assumptions!$B$135:$B$155,Assumptions!$A$135:$A$155,'Cash flow forecast'!$B171,Assumptions!$D$135:$D$155,"Annual"),0)),"")</f>
        <v>73.55</v>
      </c>
      <c r="P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forecast'!P$5))*(INDEX(Assumptions!$C$135:$C$155,MATCH('Cash flow forecast'!$B171,Assumptions!$A$135:$A$155,0))),IF(OR('Cash flow forecast'!P$5=INDEX(Assumptions!$E$135:$E$155,MATCH('Cash flow forecast'!$B171,Assumptions!$A$135:$A$155,0)),'Cash flow forecast'!P$5=INDEX(Assumptions!$F$135:$F$155,MATCH('Cash flow forecast'!$B171,Assumptions!$A$135:$A$155,0))),SUMIFS(Assumptions!$B$135:$B$155,Assumptions!$A$135:$A$155,'Cash flow forecast'!$B171,Assumptions!$D$135:$D$155,"Annual"),0)),"")</f>
        <v>73.55</v>
      </c>
      <c r="Q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forecast'!Q$5))*(INDEX(Assumptions!$C$135:$C$155,MATCH('Cash flow forecast'!$B171,Assumptions!$A$135:$A$155,0))),IF(OR('Cash flow forecast'!Q$5=INDEX(Assumptions!$E$135:$E$155,MATCH('Cash flow forecast'!$B171,Assumptions!$A$135:$A$155,0)),'Cash flow forecast'!Q$5=INDEX(Assumptions!$F$135:$F$155,MATCH('Cash flow forecast'!$B171,Assumptions!$A$135:$A$155,0))),SUMIFS(Assumptions!$B$135:$B$155,Assumptions!$A$135:$A$155,'Cash flow forecast'!$B171,Assumptions!$D$135:$D$155,"Annual"),0)),"")</f>
        <v>73.55</v>
      </c>
      <c r="R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forecast'!R$5))*(INDEX(Assumptions!$C$135:$C$155,MATCH('Cash flow forecast'!$B171,Assumptions!$A$135:$A$155,0))),IF(OR('Cash flow forecast'!R$5=INDEX(Assumptions!$E$135:$E$155,MATCH('Cash flow forecast'!$B171,Assumptions!$A$135:$A$155,0)),'Cash flow forecast'!R$5=INDEX(Assumptions!$F$135:$F$155,MATCH('Cash flow forecast'!$B171,Assumptions!$A$135:$A$155,0))),SUMIFS(Assumptions!$B$135:$B$155,Assumptions!$A$135:$A$155,'Cash flow forecast'!$B171,Assumptions!$D$135:$D$155,"Annual"),0)),"")</f>
        <v>73.55</v>
      </c>
      <c r="S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forecast'!S$5))*(INDEX(Assumptions!$C$135:$C$155,MATCH('Cash flow forecast'!$B171,Assumptions!$A$135:$A$155,0))),IF(OR('Cash flow forecast'!S$5=INDEX(Assumptions!$E$135:$E$155,MATCH('Cash flow forecast'!$B171,Assumptions!$A$135:$A$155,0)),'Cash flow forecast'!S$5=INDEX(Assumptions!$F$135:$F$155,MATCH('Cash flow forecast'!$B171,Assumptions!$A$135:$A$155,0))),SUMIFS(Assumptions!$B$135:$B$155,Assumptions!$A$135:$A$155,'Cash flow forecast'!$B171,Assumptions!$D$135:$D$155,"Annual"),0)),"")</f>
        <v>73.55</v>
      </c>
      <c r="T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forecast'!T$5))*(INDEX(Assumptions!$C$135:$C$155,MATCH('Cash flow forecast'!$B171,Assumptions!$A$135:$A$155,0))),IF(OR('Cash flow forecast'!T$5=INDEX(Assumptions!$E$135:$E$155,MATCH('Cash flow forecast'!$B171,Assumptions!$A$135:$A$155,0)),'Cash flow forecast'!T$5=INDEX(Assumptions!$F$135:$F$155,MATCH('Cash flow forecast'!$B171,Assumptions!$A$135:$A$155,0))),SUMIFS(Assumptions!$B$135:$B$155,Assumptions!$A$135:$A$155,'Cash flow forecast'!$B171,Assumptions!$D$135:$D$155,"Annual"),0)),"")</f>
        <v>73.55</v>
      </c>
      <c r="U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forecast'!U$5))*(INDEX(Assumptions!$C$135:$C$155,MATCH('Cash flow forecast'!$B171,Assumptions!$A$135:$A$155,0))),IF(OR('Cash flow forecast'!U$5=INDEX(Assumptions!$E$135:$E$155,MATCH('Cash flow forecast'!$B171,Assumptions!$A$135:$A$155,0)),'Cash flow forecast'!U$5=INDEX(Assumptions!$F$135:$F$155,MATCH('Cash flow forecast'!$B171,Assumptions!$A$135:$A$155,0))),SUMIFS(Assumptions!$B$135:$B$155,Assumptions!$A$135:$A$155,'Cash flow forecast'!$B171,Assumptions!$D$135:$D$155,"Annual"),0)),"")</f>
        <v>73.55</v>
      </c>
      <c r="V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forecast'!V$5))*(INDEX(Assumptions!$C$135:$C$155,MATCH('Cash flow forecast'!$B171,Assumptions!$A$135:$A$155,0))),IF(OR('Cash flow forecast'!V$5=INDEX(Assumptions!$E$135:$E$155,MATCH('Cash flow forecast'!$B171,Assumptions!$A$135:$A$155,0)),'Cash flow forecast'!V$5=INDEX(Assumptions!$F$135:$F$155,MATCH('Cash flow forecast'!$B171,Assumptions!$A$135:$A$155,0))),SUMIFS(Assumptions!$B$135:$B$155,Assumptions!$A$135:$A$155,'Cash flow forecast'!$B171,Assumptions!$D$135:$D$155,"Annual"),0)),"")</f>
        <v>73.55</v>
      </c>
      <c r="W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forecast'!W$5))*(INDEX(Assumptions!$C$135:$C$155,MATCH('Cash flow forecast'!$B171,Assumptions!$A$135:$A$155,0))),IF(OR('Cash flow forecast'!W$5=INDEX(Assumptions!$E$135:$E$155,MATCH('Cash flow forecast'!$B171,Assumptions!$A$135:$A$155,0)),'Cash flow forecast'!W$5=INDEX(Assumptions!$F$135:$F$155,MATCH('Cash flow forecast'!$B171,Assumptions!$A$135:$A$155,0))),SUMIFS(Assumptions!$B$135:$B$155,Assumptions!$A$135:$A$155,'Cash flow forecast'!$B171,Assumptions!$D$135:$D$155,"Annual"),0)),"")</f>
        <v>73.55</v>
      </c>
      <c r="X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forecast'!X$5))*(INDEX(Assumptions!$C$135:$C$155,MATCH('Cash flow forecast'!$B171,Assumptions!$A$135:$A$155,0))),IF(OR('Cash flow forecast'!X$5=INDEX(Assumptions!$E$135:$E$155,MATCH('Cash flow forecast'!$B171,Assumptions!$A$135:$A$155,0)),'Cash flow forecast'!X$5=INDEX(Assumptions!$F$135:$F$155,MATCH('Cash flow forecast'!$B171,Assumptions!$A$135:$A$155,0))),SUMIFS(Assumptions!$B$135:$B$155,Assumptions!$A$135:$A$155,'Cash flow forecast'!$B171,Assumptions!$D$135:$D$155,"Annual"),0)),"")</f>
        <v>73.55</v>
      </c>
      <c r="Y171" s="222">
        <f>IFERROR(IF(INDEX(Assumptions!$D$135:$D$155,MATCH('Cash flow forecast'!$B171,Assumptions!$A$135:$A$155,0))="Monthly",(SUMIFS(Assumptions!$B$135:$B$155,Assumptions!$A$135:$A$155,'Cash flow forecast'!$B171,Assumptions!$E$135:$E$155,"&lt;="&amp;'Cash flow forecast'!Y$5))*(INDEX(Assumptions!$C$135:$C$155,MATCH('Cash flow forecast'!$B171,Assumptions!$A$135:$A$155,0))),IF(OR('Cash flow forecast'!Y$5=INDEX(Assumptions!$E$135:$E$155,MATCH('Cash flow forecast'!$B171,Assumptions!$A$135:$A$155,0)),'Cash flow forecast'!Y$5=INDEX(Assumptions!$F$135:$F$155,MATCH('Cash flow forecast'!$B171,Assumptions!$A$135:$A$155,0))),SUMIFS(Assumptions!$B$135:$B$155,Assumptions!$A$135:$A$155,'Cash flow forecast'!$B171,Assumptions!$D$135:$D$155,"Annual"),0)),"")</f>
        <v>73.55</v>
      </c>
      <c r="Z171" s="223">
        <f>IFERROR(IF(INDEX(Assumptions!$D$135:$D$155,MATCH('Cash flow forecast'!$B171,Assumptions!$A$135:$A$155,0))="Monthly",(SUMIFS(Assumptions!$B$135:$B$155,Assumptions!$A$135:$A$155,'Cash flow forecast'!$B171,Assumptions!$E$135:$E$155,"&lt;="&amp;'Cash flow forecast'!Z$5))*(INDEX(Assumptions!$C$135:$C$155,MATCH('Cash flow forecast'!$B171,Assumptions!$A$135:$A$155,0))),IF(OR('Cash flow forecast'!Z$5=INDEX(Assumptions!$E$135:$E$155,MATCH('Cash flow forecast'!$B171,Assumptions!$A$135:$A$155,0)),'Cash flow forecast'!Z$5=INDEX(Assumptions!$F$135:$F$155,MATCH('Cash flow forecast'!$B171,Assumptions!$A$135:$A$155,0))),SUMIFS(Assumptions!$B$135:$B$155,Assumptions!$A$135:$A$155,'Cash flow forecast'!$B171,Assumptions!$D$135:$D$155,"Annual"),0)),"")</f>
        <v>73.55</v>
      </c>
      <c r="AA171" s="221">
        <f t="shared" si="172"/>
        <v>220.64999999999998</v>
      </c>
      <c r="AB171" s="224">
        <f t="shared" si="172"/>
        <v>220.64999999999998</v>
      </c>
      <c r="AC171" s="224">
        <f t="shared" si="172"/>
        <v>220.64999999999998</v>
      </c>
      <c r="AD171" s="224">
        <f t="shared" si="172"/>
        <v>220.64999999999998</v>
      </c>
      <c r="AE171" s="225">
        <f t="shared" si="173"/>
        <v>882.5999999999998</v>
      </c>
      <c r="AF171" s="221">
        <f t="shared" si="176"/>
        <v>220.64999999999998</v>
      </c>
      <c r="AG171" s="224">
        <f t="shared" si="174"/>
        <v>220.64999999999998</v>
      </c>
      <c r="AH171" s="224">
        <f t="shared" si="174"/>
        <v>220.64999999999998</v>
      </c>
      <c r="AI171" s="223">
        <f t="shared" si="174"/>
        <v>220.64999999999998</v>
      </c>
      <c r="AJ171" s="225">
        <f t="shared" si="177"/>
        <v>882.5999999999998</v>
      </c>
      <c r="AK171" s="243">
        <f t="shared" si="175"/>
        <v>1.7266155074278308E-3</v>
      </c>
    </row>
    <row r="172" spans="2:37" ht="22.15" hidden="1" customHeight="1" outlineLevel="1" x14ac:dyDescent="0.25">
      <c r="B172" s="91" t="str">
        <f>IF(Assumptions!$A149="","",Assumptions!$A149)</f>
        <v>Test 15</v>
      </c>
      <c r="C172" s="221">
        <f>IFERROR(IF(INDEX(Assumptions!$D$135:$D$155,MATCH('Cash flow forecast'!$B172,Assumptions!$A$135:$A$155,0))="Monthly",(SUMIFS(Assumptions!$B$135:$B$155,Assumptions!$A$135:$A$155,'Cash flow forecast'!$B172,Assumptions!$E$135:$E$155,"&lt;="&amp;'Cash flow forecast'!C$5))*(INDEX(Assumptions!$C$135:$C$155,MATCH('Cash flow forecast'!$B172,Assumptions!$A$135:$A$155,0))),IF(OR('Cash flow forecast'!C$5=INDEX(Assumptions!$E$135:$E$155,MATCH('Cash flow forecast'!$B172,Assumptions!$A$135:$A$155,0)),'Cash flow forecast'!C$5=INDEX(Assumptions!$F$135:$F$155,MATCH('Cash flow forecast'!$B172,Assumptions!$A$135:$A$155,0))),SUMIFS(Assumptions!$B$135:$B$155,Assumptions!$A$135:$A$155,'Cash flow forecast'!$B172,Assumptions!$D$135:$D$155,"Annual"),0)),"")</f>
        <v>40</v>
      </c>
      <c r="D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forecast'!D$5))*(INDEX(Assumptions!$C$135:$C$155,MATCH('Cash flow forecast'!$B172,Assumptions!$A$135:$A$155,0))),IF(OR('Cash flow forecast'!D$5=INDEX(Assumptions!$E$135:$E$155,MATCH('Cash flow forecast'!$B172,Assumptions!$A$135:$A$155,0)),'Cash flow forecast'!D$5=INDEX(Assumptions!$F$135:$F$155,MATCH('Cash flow forecast'!$B172,Assumptions!$A$135:$A$155,0))),SUMIFS(Assumptions!$B$135:$B$155,Assumptions!$A$135:$A$155,'Cash flow forecast'!$B172,Assumptions!$D$135:$D$155,"Annual"),0)),"")</f>
        <v>40</v>
      </c>
      <c r="E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forecast'!E$5))*(INDEX(Assumptions!$C$135:$C$155,MATCH('Cash flow forecast'!$B172,Assumptions!$A$135:$A$155,0))),IF(OR('Cash flow forecast'!E$5=INDEX(Assumptions!$E$135:$E$155,MATCH('Cash flow forecast'!$B172,Assumptions!$A$135:$A$155,0)),'Cash flow forecast'!E$5=INDEX(Assumptions!$F$135:$F$155,MATCH('Cash flow forecast'!$B172,Assumptions!$A$135:$A$155,0))),SUMIFS(Assumptions!$B$135:$B$155,Assumptions!$A$135:$A$155,'Cash flow forecast'!$B172,Assumptions!$D$135:$D$155,"Annual"),0)),"")</f>
        <v>40</v>
      </c>
      <c r="F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forecast'!F$5))*(INDEX(Assumptions!$C$135:$C$155,MATCH('Cash flow forecast'!$B172,Assumptions!$A$135:$A$155,0))),IF(OR('Cash flow forecast'!F$5=INDEX(Assumptions!$E$135:$E$155,MATCH('Cash flow forecast'!$B172,Assumptions!$A$135:$A$155,0)),'Cash flow forecast'!F$5=INDEX(Assumptions!$F$135:$F$155,MATCH('Cash flow forecast'!$B172,Assumptions!$A$135:$A$155,0))),SUMIFS(Assumptions!$B$135:$B$155,Assumptions!$A$135:$A$155,'Cash flow forecast'!$B172,Assumptions!$D$135:$D$155,"Annual"),0)),"")</f>
        <v>40</v>
      </c>
      <c r="G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forecast'!G$5))*(INDEX(Assumptions!$C$135:$C$155,MATCH('Cash flow forecast'!$B172,Assumptions!$A$135:$A$155,0))),IF(OR('Cash flow forecast'!G$5=INDEX(Assumptions!$E$135:$E$155,MATCH('Cash flow forecast'!$B172,Assumptions!$A$135:$A$155,0)),'Cash flow forecast'!G$5=INDEX(Assumptions!$F$135:$F$155,MATCH('Cash flow forecast'!$B172,Assumptions!$A$135:$A$155,0))),SUMIFS(Assumptions!$B$135:$B$155,Assumptions!$A$135:$A$155,'Cash flow forecast'!$B172,Assumptions!$D$135:$D$155,"Annual"),0)),"")</f>
        <v>40</v>
      </c>
      <c r="H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forecast'!H$5))*(INDEX(Assumptions!$C$135:$C$155,MATCH('Cash flow forecast'!$B172,Assumptions!$A$135:$A$155,0))),IF(OR('Cash flow forecast'!H$5=INDEX(Assumptions!$E$135:$E$155,MATCH('Cash flow forecast'!$B172,Assumptions!$A$135:$A$155,0)),'Cash flow forecast'!H$5=INDEX(Assumptions!$F$135:$F$155,MATCH('Cash flow forecast'!$B172,Assumptions!$A$135:$A$155,0))),SUMIFS(Assumptions!$B$135:$B$155,Assumptions!$A$135:$A$155,'Cash flow forecast'!$B172,Assumptions!$D$135:$D$155,"Annual"),0)),"")</f>
        <v>40</v>
      </c>
      <c r="I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forecast'!I$5))*(INDEX(Assumptions!$C$135:$C$155,MATCH('Cash flow forecast'!$B172,Assumptions!$A$135:$A$155,0))),IF(OR('Cash flow forecast'!I$5=INDEX(Assumptions!$E$135:$E$155,MATCH('Cash flow forecast'!$B172,Assumptions!$A$135:$A$155,0)),'Cash flow forecast'!I$5=INDEX(Assumptions!$F$135:$F$155,MATCH('Cash flow forecast'!$B172,Assumptions!$A$135:$A$155,0))),SUMIFS(Assumptions!$B$135:$B$155,Assumptions!$A$135:$A$155,'Cash flow forecast'!$B172,Assumptions!$D$135:$D$155,"Annual"),0)),"")</f>
        <v>40</v>
      </c>
      <c r="J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forecast'!J$5))*(INDEX(Assumptions!$C$135:$C$155,MATCH('Cash flow forecast'!$B172,Assumptions!$A$135:$A$155,0))),IF(OR('Cash flow forecast'!J$5=INDEX(Assumptions!$E$135:$E$155,MATCH('Cash flow forecast'!$B172,Assumptions!$A$135:$A$155,0)),'Cash flow forecast'!J$5=INDEX(Assumptions!$F$135:$F$155,MATCH('Cash flow forecast'!$B172,Assumptions!$A$135:$A$155,0))),SUMIFS(Assumptions!$B$135:$B$155,Assumptions!$A$135:$A$155,'Cash flow forecast'!$B172,Assumptions!$D$135:$D$155,"Annual"),0)),"")</f>
        <v>40</v>
      </c>
      <c r="K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forecast'!K$5))*(INDEX(Assumptions!$C$135:$C$155,MATCH('Cash flow forecast'!$B172,Assumptions!$A$135:$A$155,0))),IF(OR('Cash flow forecast'!K$5=INDEX(Assumptions!$E$135:$E$155,MATCH('Cash flow forecast'!$B172,Assumptions!$A$135:$A$155,0)),'Cash flow forecast'!K$5=INDEX(Assumptions!$F$135:$F$155,MATCH('Cash flow forecast'!$B172,Assumptions!$A$135:$A$155,0))),SUMIFS(Assumptions!$B$135:$B$155,Assumptions!$A$135:$A$155,'Cash flow forecast'!$B172,Assumptions!$D$135:$D$155,"Annual"),0)),"")</f>
        <v>40</v>
      </c>
      <c r="L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forecast'!L$5))*(INDEX(Assumptions!$C$135:$C$155,MATCH('Cash flow forecast'!$B172,Assumptions!$A$135:$A$155,0))),IF(OR('Cash flow forecast'!L$5=INDEX(Assumptions!$E$135:$E$155,MATCH('Cash flow forecast'!$B172,Assumptions!$A$135:$A$155,0)),'Cash flow forecast'!L$5=INDEX(Assumptions!$F$135:$F$155,MATCH('Cash flow forecast'!$B172,Assumptions!$A$135:$A$155,0))),SUMIFS(Assumptions!$B$135:$B$155,Assumptions!$A$135:$A$155,'Cash flow forecast'!$B172,Assumptions!$D$135:$D$155,"Annual"),0)),"")</f>
        <v>40</v>
      </c>
      <c r="M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forecast'!M$5))*(INDEX(Assumptions!$C$135:$C$155,MATCH('Cash flow forecast'!$B172,Assumptions!$A$135:$A$155,0))),IF(OR('Cash flow forecast'!M$5=INDEX(Assumptions!$E$135:$E$155,MATCH('Cash flow forecast'!$B172,Assumptions!$A$135:$A$155,0)),'Cash flow forecast'!M$5=INDEX(Assumptions!$F$135:$F$155,MATCH('Cash flow forecast'!$B172,Assumptions!$A$135:$A$155,0))),SUMIFS(Assumptions!$B$135:$B$155,Assumptions!$A$135:$A$155,'Cash flow forecast'!$B172,Assumptions!$D$135:$D$155,"Annual"),0)),"")</f>
        <v>40</v>
      </c>
      <c r="N172" s="223">
        <f>IFERROR(IF(INDEX(Assumptions!$D$135:$D$155,MATCH('Cash flow forecast'!$B172,Assumptions!$A$135:$A$155,0))="Monthly",(SUMIFS(Assumptions!$B$135:$B$155,Assumptions!$A$135:$A$155,'Cash flow forecast'!$B172,Assumptions!$E$135:$E$155,"&lt;="&amp;'Cash flow forecast'!N$5))*(INDEX(Assumptions!$C$135:$C$155,MATCH('Cash flow forecast'!$B172,Assumptions!$A$135:$A$155,0))),IF(OR('Cash flow forecast'!N$5=INDEX(Assumptions!$E$135:$E$155,MATCH('Cash flow forecast'!$B172,Assumptions!$A$135:$A$155,0)),'Cash flow forecast'!N$5=INDEX(Assumptions!$F$135:$F$155,MATCH('Cash flow forecast'!$B172,Assumptions!$A$135:$A$155,0))),SUMIFS(Assumptions!$B$135:$B$155,Assumptions!$A$135:$A$155,'Cash flow forecast'!$B172,Assumptions!$D$135:$D$155,"Annual"),0)),"")</f>
        <v>40</v>
      </c>
      <c r="O172" s="221">
        <f>IFERROR(IF(INDEX(Assumptions!$D$135:$D$155,MATCH('Cash flow forecast'!$B172,Assumptions!$A$135:$A$155,0))="Monthly",(SUMIFS(Assumptions!$B$135:$B$155,Assumptions!$A$135:$A$155,'Cash flow forecast'!$B172,Assumptions!$E$135:$E$155,"&lt;="&amp;'Cash flow forecast'!O$5))*(INDEX(Assumptions!$C$135:$C$155,MATCH('Cash flow forecast'!$B172,Assumptions!$A$135:$A$155,0))),IF(OR('Cash flow forecast'!O$5=INDEX(Assumptions!$E$135:$E$155,MATCH('Cash flow forecast'!$B172,Assumptions!$A$135:$A$155,0)),'Cash flow forecast'!O$5=INDEX(Assumptions!$F$135:$F$155,MATCH('Cash flow forecast'!$B172,Assumptions!$A$135:$A$155,0))),SUMIFS(Assumptions!$B$135:$B$155,Assumptions!$A$135:$A$155,'Cash flow forecast'!$B172,Assumptions!$D$135:$D$155,"Annual"),0)),"")</f>
        <v>40</v>
      </c>
      <c r="P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forecast'!P$5))*(INDEX(Assumptions!$C$135:$C$155,MATCH('Cash flow forecast'!$B172,Assumptions!$A$135:$A$155,0))),IF(OR('Cash flow forecast'!P$5=INDEX(Assumptions!$E$135:$E$155,MATCH('Cash flow forecast'!$B172,Assumptions!$A$135:$A$155,0)),'Cash flow forecast'!P$5=INDEX(Assumptions!$F$135:$F$155,MATCH('Cash flow forecast'!$B172,Assumptions!$A$135:$A$155,0))),SUMIFS(Assumptions!$B$135:$B$155,Assumptions!$A$135:$A$155,'Cash flow forecast'!$B172,Assumptions!$D$135:$D$155,"Annual"),0)),"")</f>
        <v>40</v>
      </c>
      <c r="Q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forecast'!Q$5))*(INDEX(Assumptions!$C$135:$C$155,MATCH('Cash flow forecast'!$B172,Assumptions!$A$135:$A$155,0))),IF(OR('Cash flow forecast'!Q$5=INDEX(Assumptions!$E$135:$E$155,MATCH('Cash flow forecast'!$B172,Assumptions!$A$135:$A$155,0)),'Cash flow forecast'!Q$5=INDEX(Assumptions!$F$135:$F$155,MATCH('Cash flow forecast'!$B172,Assumptions!$A$135:$A$155,0))),SUMIFS(Assumptions!$B$135:$B$155,Assumptions!$A$135:$A$155,'Cash flow forecast'!$B172,Assumptions!$D$135:$D$155,"Annual"),0)),"")</f>
        <v>40</v>
      </c>
      <c r="R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forecast'!R$5))*(INDEX(Assumptions!$C$135:$C$155,MATCH('Cash flow forecast'!$B172,Assumptions!$A$135:$A$155,0))),IF(OR('Cash flow forecast'!R$5=INDEX(Assumptions!$E$135:$E$155,MATCH('Cash flow forecast'!$B172,Assumptions!$A$135:$A$155,0)),'Cash flow forecast'!R$5=INDEX(Assumptions!$F$135:$F$155,MATCH('Cash flow forecast'!$B172,Assumptions!$A$135:$A$155,0))),SUMIFS(Assumptions!$B$135:$B$155,Assumptions!$A$135:$A$155,'Cash flow forecast'!$B172,Assumptions!$D$135:$D$155,"Annual"),0)),"")</f>
        <v>40</v>
      </c>
      <c r="S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forecast'!S$5))*(INDEX(Assumptions!$C$135:$C$155,MATCH('Cash flow forecast'!$B172,Assumptions!$A$135:$A$155,0))),IF(OR('Cash flow forecast'!S$5=INDEX(Assumptions!$E$135:$E$155,MATCH('Cash flow forecast'!$B172,Assumptions!$A$135:$A$155,0)),'Cash flow forecast'!S$5=INDEX(Assumptions!$F$135:$F$155,MATCH('Cash flow forecast'!$B172,Assumptions!$A$135:$A$155,0))),SUMIFS(Assumptions!$B$135:$B$155,Assumptions!$A$135:$A$155,'Cash flow forecast'!$B172,Assumptions!$D$135:$D$155,"Annual"),0)),"")</f>
        <v>40</v>
      </c>
      <c r="T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forecast'!T$5))*(INDEX(Assumptions!$C$135:$C$155,MATCH('Cash flow forecast'!$B172,Assumptions!$A$135:$A$155,0))),IF(OR('Cash flow forecast'!T$5=INDEX(Assumptions!$E$135:$E$155,MATCH('Cash flow forecast'!$B172,Assumptions!$A$135:$A$155,0)),'Cash flow forecast'!T$5=INDEX(Assumptions!$F$135:$F$155,MATCH('Cash flow forecast'!$B172,Assumptions!$A$135:$A$155,0))),SUMIFS(Assumptions!$B$135:$B$155,Assumptions!$A$135:$A$155,'Cash flow forecast'!$B172,Assumptions!$D$135:$D$155,"Annual"),0)),"")</f>
        <v>40</v>
      </c>
      <c r="U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forecast'!U$5))*(INDEX(Assumptions!$C$135:$C$155,MATCH('Cash flow forecast'!$B172,Assumptions!$A$135:$A$155,0))),IF(OR('Cash flow forecast'!U$5=INDEX(Assumptions!$E$135:$E$155,MATCH('Cash flow forecast'!$B172,Assumptions!$A$135:$A$155,0)),'Cash flow forecast'!U$5=INDEX(Assumptions!$F$135:$F$155,MATCH('Cash flow forecast'!$B172,Assumptions!$A$135:$A$155,0))),SUMIFS(Assumptions!$B$135:$B$155,Assumptions!$A$135:$A$155,'Cash flow forecast'!$B172,Assumptions!$D$135:$D$155,"Annual"),0)),"")</f>
        <v>40</v>
      </c>
      <c r="V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forecast'!V$5))*(INDEX(Assumptions!$C$135:$C$155,MATCH('Cash flow forecast'!$B172,Assumptions!$A$135:$A$155,0))),IF(OR('Cash flow forecast'!V$5=INDEX(Assumptions!$E$135:$E$155,MATCH('Cash flow forecast'!$B172,Assumptions!$A$135:$A$155,0)),'Cash flow forecast'!V$5=INDEX(Assumptions!$F$135:$F$155,MATCH('Cash flow forecast'!$B172,Assumptions!$A$135:$A$155,0))),SUMIFS(Assumptions!$B$135:$B$155,Assumptions!$A$135:$A$155,'Cash flow forecast'!$B172,Assumptions!$D$135:$D$155,"Annual"),0)),"")</f>
        <v>40</v>
      </c>
      <c r="W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forecast'!W$5))*(INDEX(Assumptions!$C$135:$C$155,MATCH('Cash flow forecast'!$B172,Assumptions!$A$135:$A$155,0))),IF(OR('Cash flow forecast'!W$5=INDEX(Assumptions!$E$135:$E$155,MATCH('Cash flow forecast'!$B172,Assumptions!$A$135:$A$155,0)),'Cash flow forecast'!W$5=INDEX(Assumptions!$F$135:$F$155,MATCH('Cash flow forecast'!$B172,Assumptions!$A$135:$A$155,0))),SUMIFS(Assumptions!$B$135:$B$155,Assumptions!$A$135:$A$155,'Cash flow forecast'!$B172,Assumptions!$D$135:$D$155,"Annual"),0)),"")</f>
        <v>40</v>
      </c>
      <c r="X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forecast'!X$5))*(INDEX(Assumptions!$C$135:$C$155,MATCH('Cash flow forecast'!$B172,Assumptions!$A$135:$A$155,0))),IF(OR('Cash flow forecast'!X$5=INDEX(Assumptions!$E$135:$E$155,MATCH('Cash flow forecast'!$B172,Assumptions!$A$135:$A$155,0)),'Cash flow forecast'!X$5=INDEX(Assumptions!$F$135:$F$155,MATCH('Cash flow forecast'!$B172,Assumptions!$A$135:$A$155,0))),SUMIFS(Assumptions!$B$135:$B$155,Assumptions!$A$135:$A$155,'Cash flow forecast'!$B172,Assumptions!$D$135:$D$155,"Annual"),0)),"")</f>
        <v>40</v>
      </c>
      <c r="Y172" s="222">
        <f>IFERROR(IF(INDEX(Assumptions!$D$135:$D$155,MATCH('Cash flow forecast'!$B172,Assumptions!$A$135:$A$155,0))="Monthly",(SUMIFS(Assumptions!$B$135:$B$155,Assumptions!$A$135:$A$155,'Cash flow forecast'!$B172,Assumptions!$E$135:$E$155,"&lt;="&amp;'Cash flow forecast'!Y$5))*(INDEX(Assumptions!$C$135:$C$155,MATCH('Cash flow forecast'!$B172,Assumptions!$A$135:$A$155,0))),IF(OR('Cash flow forecast'!Y$5=INDEX(Assumptions!$E$135:$E$155,MATCH('Cash flow forecast'!$B172,Assumptions!$A$135:$A$155,0)),'Cash flow forecast'!Y$5=INDEX(Assumptions!$F$135:$F$155,MATCH('Cash flow forecast'!$B172,Assumptions!$A$135:$A$155,0))),SUMIFS(Assumptions!$B$135:$B$155,Assumptions!$A$135:$A$155,'Cash flow forecast'!$B172,Assumptions!$D$135:$D$155,"Annual"),0)),"")</f>
        <v>40</v>
      </c>
      <c r="Z172" s="223">
        <f>IFERROR(IF(INDEX(Assumptions!$D$135:$D$155,MATCH('Cash flow forecast'!$B172,Assumptions!$A$135:$A$155,0))="Monthly",(SUMIFS(Assumptions!$B$135:$B$155,Assumptions!$A$135:$A$155,'Cash flow forecast'!$B172,Assumptions!$E$135:$E$155,"&lt;="&amp;'Cash flow forecast'!Z$5))*(INDEX(Assumptions!$C$135:$C$155,MATCH('Cash flow forecast'!$B172,Assumptions!$A$135:$A$155,0))),IF(OR('Cash flow forecast'!Z$5=INDEX(Assumptions!$E$135:$E$155,MATCH('Cash flow forecast'!$B172,Assumptions!$A$135:$A$155,0)),'Cash flow forecast'!Z$5=INDEX(Assumptions!$F$135:$F$155,MATCH('Cash flow forecast'!$B172,Assumptions!$A$135:$A$155,0))),SUMIFS(Assumptions!$B$135:$B$155,Assumptions!$A$135:$A$155,'Cash flow forecast'!$B172,Assumptions!$D$135:$D$155,"Annual"),0)),"")</f>
        <v>40</v>
      </c>
      <c r="AA172" s="221">
        <f t="shared" si="172"/>
        <v>120</v>
      </c>
      <c r="AB172" s="224">
        <f t="shared" si="172"/>
        <v>120</v>
      </c>
      <c r="AC172" s="224">
        <f t="shared" si="172"/>
        <v>120</v>
      </c>
      <c r="AD172" s="224">
        <f t="shared" si="172"/>
        <v>120</v>
      </c>
      <c r="AE172" s="225">
        <f t="shared" si="173"/>
        <v>480</v>
      </c>
      <c r="AF172" s="221">
        <f t="shared" si="176"/>
        <v>120</v>
      </c>
      <c r="AG172" s="224">
        <f t="shared" si="174"/>
        <v>120</v>
      </c>
      <c r="AH172" s="224">
        <f t="shared" si="174"/>
        <v>120</v>
      </c>
      <c r="AI172" s="223">
        <f t="shared" si="174"/>
        <v>120</v>
      </c>
      <c r="AJ172" s="225">
        <f t="shared" si="177"/>
        <v>480</v>
      </c>
      <c r="AK172" s="243">
        <f t="shared" si="175"/>
        <v>9.3901591158549618E-4</v>
      </c>
    </row>
    <row r="173" spans="2:37" ht="22.15" hidden="1" customHeight="1" outlineLevel="1" x14ac:dyDescent="0.25">
      <c r="B173" s="91" t="str">
        <f>IF(Assumptions!$A150="","",Assumptions!$A150)</f>
        <v>Test 16</v>
      </c>
      <c r="C173" s="221">
        <f>IFERROR(IF(INDEX(Assumptions!$D$135:$D$155,MATCH('Cash flow forecast'!$B173,Assumptions!$A$135:$A$155,0))="Monthly",(SUMIFS(Assumptions!$B$135:$B$155,Assumptions!$A$135:$A$155,'Cash flow forecast'!$B173,Assumptions!$E$135:$E$155,"&lt;="&amp;'Cash flow forecast'!C$5))*(INDEX(Assumptions!$C$135:$C$155,MATCH('Cash flow forecast'!$B173,Assumptions!$A$135:$A$155,0))),IF(OR('Cash flow forecast'!C$5=INDEX(Assumptions!$E$135:$E$155,MATCH('Cash flow forecast'!$B173,Assumptions!$A$135:$A$155,0)),'Cash flow forecast'!C$5=INDEX(Assumptions!$F$135:$F$155,MATCH('Cash flow forecast'!$B173,Assumptions!$A$135:$A$155,0))),SUMIFS(Assumptions!$B$135:$B$155,Assumptions!$A$135:$A$155,'Cash flow forecast'!$B173,Assumptions!$D$135:$D$155,"Annual"),0)),"")</f>
        <v>147</v>
      </c>
      <c r="D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forecast'!D$5))*(INDEX(Assumptions!$C$135:$C$155,MATCH('Cash flow forecast'!$B173,Assumptions!$A$135:$A$155,0))),IF(OR('Cash flow forecast'!D$5=INDEX(Assumptions!$E$135:$E$155,MATCH('Cash flow forecast'!$B173,Assumptions!$A$135:$A$155,0)),'Cash flow forecast'!D$5=INDEX(Assumptions!$F$135:$F$155,MATCH('Cash flow forecast'!$B173,Assumptions!$A$135:$A$155,0))),SUMIFS(Assumptions!$B$135:$B$155,Assumptions!$A$135:$A$155,'Cash flow forecast'!$B173,Assumptions!$D$135:$D$155,"Annual"),0)),"")</f>
        <v>147</v>
      </c>
      <c r="E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forecast'!E$5))*(INDEX(Assumptions!$C$135:$C$155,MATCH('Cash flow forecast'!$B173,Assumptions!$A$135:$A$155,0))),IF(OR('Cash flow forecast'!E$5=INDEX(Assumptions!$E$135:$E$155,MATCH('Cash flow forecast'!$B173,Assumptions!$A$135:$A$155,0)),'Cash flow forecast'!E$5=INDEX(Assumptions!$F$135:$F$155,MATCH('Cash flow forecast'!$B173,Assumptions!$A$135:$A$155,0))),SUMIFS(Assumptions!$B$135:$B$155,Assumptions!$A$135:$A$155,'Cash flow forecast'!$B173,Assumptions!$D$135:$D$155,"Annual"),0)),"")</f>
        <v>147</v>
      </c>
      <c r="F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forecast'!F$5))*(INDEX(Assumptions!$C$135:$C$155,MATCH('Cash flow forecast'!$B173,Assumptions!$A$135:$A$155,0))),IF(OR('Cash flow forecast'!F$5=INDEX(Assumptions!$E$135:$E$155,MATCH('Cash flow forecast'!$B173,Assumptions!$A$135:$A$155,0)),'Cash flow forecast'!F$5=INDEX(Assumptions!$F$135:$F$155,MATCH('Cash flow forecast'!$B173,Assumptions!$A$135:$A$155,0))),SUMIFS(Assumptions!$B$135:$B$155,Assumptions!$A$135:$A$155,'Cash flow forecast'!$B173,Assumptions!$D$135:$D$155,"Annual"),0)),"")</f>
        <v>147</v>
      </c>
      <c r="G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forecast'!G$5))*(INDEX(Assumptions!$C$135:$C$155,MATCH('Cash flow forecast'!$B173,Assumptions!$A$135:$A$155,0))),IF(OR('Cash flow forecast'!G$5=INDEX(Assumptions!$E$135:$E$155,MATCH('Cash flow forecast'!$B173,Assumptions!$A$135:$A$155,0)),'Cash flow forecast'!G$5=INDEX(Assumptions!$F$135:$F$155,MATCH('Cash flow forecast'!$B173,Assumptions!$A$135:$A$155,0))),SUMIFS(Assumptions!$B$135:$B$155,Assumptions!$A$135:$A$155,'Cash flow forecast'!$B173,Assumptions!$D$135:$D$155,"Annual"),0)),"")</f>
        <v>147</v>
      </c>
      <c r="H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forecast'!H$5))*(INDEX(Assumptions!$C$135:$C$155,MATCH('Cash flow forecast'!$B173,Assumptions!$A$135:$A$155,0))),IF(OR('Cash flow forecast'!H$5=INDEX(Assumptions!$E$135:$E$155,MATCH('Cash flow forecast'!$B173,Assumptions!$A$135:$A$155,0)),'Cash flow forecast'!H$5=INDEX(Assumptions!$F$135:$F$155,MATCH('Cash flow forecast'!$B173,Assumptions!$A$135:$A$155,0))),SUMIFS(Assumptions!$B$135:$B$155,Assumptions!$A$135:$A$155,'Cash flow forecast'!$B173,Assumptions!$D$135:$D$155,"Annual"),0)),"")</f>
        <v>147</v>
      </c>
      <c r="I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forecast'!I$5))*(INDEX(Assumptions!$C$135:$C$155,MATCH('Cash flow forecast'!$B173,Assumptions!$A$135:$A$155,0))),IF(OR('Cash flow forecast'!I$5=INDEX(Assumptions!$E$135:$E$155,MATCH('Cash flow forecast'!$B173,Assumptions!$A$135:$A$155,0)),'Cash flow forecast'!I$5=INDEX(Assumptions!$F$135:$F$155,MATCH('Cash flow forecast'!$B173,Assumptions!$A$135:$A$155,0))),SUMIFS(Assumptions!$B$135:$B$155,Assumptions!$A$135:$A$155,'Cash flow forecast'!$B173,Assumptions!$D$135:$D$155,"Annual"),0)),"")</f>
        <v>147</v>
      </c>
      <c r="J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forecast'!J$5))*(INDEX(Assumptions!$C$135:$C$155,MATCH('Cash flow forecast'!$B173,Assumptions!$A$135:$A$155,0))),IF(OR('Cash flow forecast'!J$5=INDEX(Assumptions!$E$135:$E$155,MATCH('Cash flow forecast'!$B173,Assumptions!$A$135:$A$155,0)),'Cash flow forecast'!J$5=INDEX(Assumptions!$F$135:$F$155,MATCH('Cash flow forecast'!$B173,Assumptions!$A$135:$A$155,0))),SUMIFS(Assumptions!$B$135:$B$155,Assumptions!$A$135:$A$155,'Cash flow forecast'!$B173,Assumptions!$D$135:$D$155,"Annual"),0)),"")</f>
        <v>147</v>
      </c>
      <c r="K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forecast'!K$5))*(INDEX(Assumptions!$C$135:$C$155,MATCH('Cash flow forecast'!$B173,Assumptions!$A$135:$A$155,0))),IF(OR('Cash flow forecast'!K$5=INDEX(Assumptions!$E$135:$E$155,MATCH('Cash flow forecast'!$B173,Assumptions!$A$135:$A$155,0)),'Cash flow forecast'!K$5=INDEX(Assumptions!$F$135:$F$155,MATCH('Cash flow forecast'!$B173,Assumptions!$A$135:$A$155,0))),SUMIFS(Assumptions!$B$135:$B$155,Assumptions!$A$135:$A$155,'Cash flow forecast'!$B173,Assumptions!$D$135:$D$155,"Annual"),0)),"")</f>
        <v>147</v>
      </c>
      <c r="L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forecast'!L$5))*(INDEX(Assumptions!$C$135:$C$155,MATCH('Cash flow forecast'!$B173,Assumptions!$A$135:$A$155,0))),IF(OR('Cash flow forecast'!L$5=INDEX(Assumptions!$E$135:$E$155,MATCH('Cash flow forecast'!$B173,Assumptions!$A$135:$A$155,0)),'Cash flow forecast'!L$5=INDEX(Assumptions!$F$135:$F$155,MATCH('Cash flow forecast'!$B173,Assumptions!$A$135:$A$155,0))),SUMIFS(Assumptions!$B$135:$B$155,Assumptions!$A$135:$A$155,'Cash flow forecast'!$B173,Assumptions!$D$135:$D$155,"Annual"),0)),"")</f>
        <v>147</v>
      </c>
      <c r="M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forecast'!M$5))*(INDEX(Assumptions!$C$135:$C$155,MATCH('Cash flow forecast'!$B173,Assumptions!$A$135:$A$155,0))),IF(OR('Cash flow forecast'!M$5=INDEX(Assumptions!$E$135:$E$155,MATCH('Cash flow forecast'!$B173,Assumptions!$A$135:$A$155,0)),'Cash flow forecast'!M$5=INDEX(Assumptions!$F$135:$F$155,MATCH('Cash flow forecast'!$B173,Assumptions!$A$135:$A$155,0))),SUMIFS(Assumptions!$B$135:$B$155,Assumptions!$A$135:$A$155,'Cash flow forecast'!$B173,Assumptions!$D$135:$D$155,"Annual"),0)),"")</f>
        <v>147</v>
      </c>
      <c r="N173" s="223">
        <f>IFERROR(IF(INDEX(Assumptions!$D$135:$D$155,MATCH('Cash flow forecast'!$B173,Assumptions!$A$135:$A$155,0))="Monthly",(SUMIFS(Assumptions!$B$135:$B$155,Assumptions!$A$135:$A$155,'Cash flow forecast'!$B173,Assumptions!$E$135:$E$155,"&lt;="&amp;'Cash flow forecast'!N$5))*(INDEX(Assumptions!$C$135:$C$155,MATCH('Cash flow forecast'!$B173,Assumptions!$A$135:$A$155,0))),IF(OR('Cash flow forecast'!N$5=INDEX(Assumptions!$E$135:$E$155,MATCH('Cash flow forecast'!$B173,Assumptions!$A$135:$A$155,0)),'Cash flow forecast'!N$5=INDEX(Assumptions!$F$135:$F$155,MATCH('Cash flow forecast'!$B173,Assumptions!$A$135:$A$155,0))),SUMIFS(Assumptions!$B$135:$B$155,Assumptions!$A$135:$A$155,'Cash flow forecast'!$B173,Assumptions!$D$135:$D$155,"Annual"),0)),"")</f>
        <v>147</v>
      </c>
      <c r="O173" s="221">
        <f>IFERROR(IF(INDEX(Assumptions!$D$135:$D$155,MATCH('Cash flow forecast'!$B173,Assumptions!$A$135:$A$155,0))="Monthly",(SUMIFS(Assumptions!$B$135:$B$155,Assumptions!$A$135:$A$155,'Cash flow forecast'!$B173,Assumptions!$E$135:$E$155,"&lt;="&amp;'Cash flow forecast'!O$5))*(INDEX(Assumptions!$C$135:$C$155,MATCH('Cash flow forecast'!$B173,Assumptions!$A$135:$A$155,0))),IF(OR('Cash flow forecast'!O$5=INDEX(Assumptions!$E$135:$E$155,MATCH('Cash flow forecast'!$B173,Assumptions!$A$135:$A$155,0)),'Cash flow forecast'!O$5=INDEX(Assumptions!$F$135:$F$155,MATCH('Cash flow forecast'!$B173,Assumptions!$A$135:$A$155,0))),SUMIFS(Assumptions!$B$135:$B$155,Assumptions!$A$135:$A$155,'Cash flow forecast'!$B173,Assumptions!$D$135:$D$155,"Annual"),0)),"")</f>
        <v>147</v>
      </c>
      <c r="P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forecast'!P$5))*(INDEX(Assumptions!$C$135:$C$155,MATCH('Cash flow forecast'!$B173,Assumptions!$A$135:$A$155,0))),IF(OR('Cash flow forecast'!P$5=INDEX(Assumptions!$E$135:$E$155,MATCH('Cash flow forecast'!$B173,Assumptions!$A$135:$A$155,0)),'Cash flow forecast'!P$5=INDEX(Assumptions!$F$135:$F$155,MATCH('Cash flow forecast'!$B173,Assumptions!$A$135:$A$155,0))),SUMIFS(Assumptions!$B$135:$B$155,Assumptions!$A$135:$A$155,'Cash flow forecast'!$B173,Assumptions!$D$135:$D$155,"Annual"),0)),"")</f>
        <v>147</v>
      </c>
      <c r="Q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forecast'!Q$5))*(INDEX(Assumptions!$C$135:$C$155,MATCH('Cash flow forecast'!$B173,Assumptions!$A$135:$A$155,0))),IF(OR('Cash flow forecast'!Q$5=INDEX(Assumptions!$E$135:$E$155,MATCH('Cash flow forecast'!$B173,Assumptions!$A$135:$A$155,0)),'Cash flow forecast'!Q$5=INDEX(Assumptions!$F$135:$F$155,MATCH('Cash flow forecast'!$B173,Assumptions!$A$135:$A$155,0))),SUMIFS(Assumptions!$B$135:$B$155,Assumptions!$A$135:$A$155,'Cash flow forecast'!$B173,Assumptions!$D$135:$D$155,"Annual"),0)),"")</f>
        <v>147</v>
      </c>
      <c r="R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forecast'!R$5))*(INDEX(Assumptions!$C$135:$C$155,MATCH('Cash flow forecast'!$B173,Assumptions!$A$135:$A$155,0))),IF(OR('Cash flow forecast'!R$5=INDEX(Assumptions!$E$135:$E$155,MATCH('Cash flow forecast'!$B173,Assumptions!$A$135:$A$155,0)),'Cash flow forecast'!R$5=INDEX(Assumptions!$F$135:$F$155,MATCH('Cash flow forecast'!$B173,Assumptions!$A$135:$A$155,0))),SUMIFS(Assumptions!$B$135:$B$155,Assumptions!$A$135:$A$155,'Cash flow forecast'!$B173,Assumptions!$D$135:$D$155,"Annual"),0)),"")</f>
        <v>147</v>
      </c>
      <c r="S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forecast'!S$5))*(INDEX(Assumptions!$C$135:$C$155,MATCH('Cash flow forecast'!$B173,Assumptions!$A$135:$A$155,0))),IF(OR('Cash flow forecast'!S$5=INDEX(Assumptions!$E$135:$E$155,MATCH('Cash flow forecast'!$B173,Assumptions!$A$135:$A$155,0)),'Cash flow forecast'!S$5=INDEX(Assumptions!$F$135:$F$155,MATCH('Cash flow forecast'!$B173,Assumptions!$A$135:$A$155,0))),SUMIFS(Assumptions!$B$135:$B$155,Assumptions!$A$135:$A$155,'Cash flow forecast'!$B173,Assumptions!$D$135:$D$155,"Annual"),0)),"")</f>
        <v>147</v>
      </c>
      <c r="T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forecast'!T$5))*(INDEX(Assumptions!$C$135:$C$155,MATCH('Cash flow forecast'!$B173,Assumptions!$A$135:$A$155,0))),IF(OR('Cash flow forecast'!T$5=INDEX(Assumptions!$E$135:$E$155,MATCH('Cash flow forecast'!$B173,Assumptions!$A$135:$A$155,0)),'Cash flow forecast'!T$5=INDEX(Assumptions!$F$135:$F$155,MATCH('Cash flow forecast'!$B173,Assumptions!$A$135:$A$155,0))),SUMIFS(Assumptions!$B$135:$B$155,Assumptions!$A$135:$A$155,'Cash flow forecast'!$B173,Assumptions!$D$135:$D$155,"Annual"),0)),"")</f>
        <v>147</v>
      </c>
      <c r="U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forecast'!U$5))*(INDEX(Assumptions!$C$135:$C$155,MATCH('Cash flow forecast'!$B173,Assumptions!$A$135:$A$155,0))),IF(OR('Cash flow forecast'!U$5=INDEX(Assumptions!$E$135:$E$155,MATCH('Cash flow forecast'!$B173,Assumptions!$A$135:$A$155,0)),'Cash flow forecast'!U$5=INDEX(Assumptions!$F$135:$F$155,MATCH('Cash flow forecast'!$B173,Assumptions!$A$135:$A$155,0))),SUMIFS(Assumptions!$B$135:$B$155,Assumptions!$A$135:$A$155,'Cash flow forecast'!$B173,Assumptions!$D$135:$D$155,"Annual"),0)),"")</f>
        <v>147</v>
      </c>
      <c r="V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forecast'!V$5))*(INDEX(Assumptions!$C$135:$C$155,MATCH('Cash flow forecast'!$B173,Assumptions!$A$135:$A$155,0))),IF(OR('Cash flow forecast'!V$5=INDEX(Assumptions!$E$135:$E$155,MATCH('Cash flow forecast'!$B173,Assumptions!$A$135:$A$155,0)),'Cash flow forecast'!V$5=INDEX(Assumptions!$F$135:$F$155,MATCH('Cash flow forecast'!$B173,Assumptions!$A$135:$A$155,0))),SUMIFS(Assumptions!$B$135:$B$155,Assumptions!$A$135:$A$155,'Cash flow forecast'!$B173,Assumptions!$D$135:$D$155,"Annual"),0)),"")</f>
        <v>147</v>
      </c>
      <c r="W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forecast'!W$5))*(INDEX(Assumptions!$C$135:$C$155,MATCH('Cash flow forecast'!$B173,Assumptions!$A$135:$A$155,0))),IF(OR('Cash flow forecast'!W$5=INDEX(Assumptions!$E$135:$E$155,MATCH('Cash flow forecast'!$B173,Assumptions!$A$135:$A$155,0)),'Cash flow forecast'!W$5=INDEX(Assumptions!$F$135:$F$155,MATCH('Cash flow forecast'!$B173,Assumptions!$A$135:$A$155,0))),SUMIFS(Assumptions!$B$135:$B$155,Assumptions!$A$135:$A$155,'Cash flow forecast'!$B173,Assumptions!$D$135:$D$155,"Annual"),0)),"")</f>
        <v>147</v>
      </c>
      <c r="X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forecast'!X$5))*(INDEX(Assumptions!$C$135:$C$155,MATCH('Cash flow forecast'!$B173,Assumptions!$A$135:$A$155,0))),IF(OR('Cash flow forecast'!X$5=INDEX(Assumptions!$E$135:$E$155,MATCH('Cash flow forecast'!$B173,Assumptions!$A$135:$A$155,0)),'Cash flow forecast'!X$5=INDEX(Assumptions!$F$135:$F$155,MATCH('Cash flow forecast'!$B173,Assumptions!$A$135:$A$155,0))),SUMIFS(Assumptions!$B$135:$B$155,Assumptions!$A$135:$A$155,'Cash flow forecast'!$B173,Assumptions!$D$135:$D$155,"Annual"),0)),"")</f>
        <v>147</v>
      </c>
      <c r="Y173" s="222">
        <f>IFERROR(IF(INDEX(Assumptions!$D$135:$D$155,MATCH('Cash flow forecast'!$B173,Assumptions!$A$135:$A$155,0))="Monthly",(SUMIFS(Assumptions!$B$135:$B$155,Assumptions!$A$135:$A$155,'Cash flow forecast'!$B173,Assumptions!$E$135:$E$155,"&lt;="&amp;'Cash flow forecast'!Y$5))*(INDEX(Assumptions!$C$135:$C$155,MATCH('Cash flow forecast'!$B173,Assumptions!$A$135:$A$155,0))),IF(OR('Cash flow forecast'!Y$5=INDEX(Assumptions!$E$135:$E$155,MATCH('Cash flow forecast'!$B173,Assumptions!$A$135:$A$155,0)),'Cash flow forecast'!Y$5=INDEX(Assumptions!$F$135:$F$155,MATCH('Cash flow forecast'!$B173,Assumptions!$A$135:$A$155,0))),SUMIFS(Assumptions!$B$135:$B$155,Assumptions!$A$135:$A$155,'Cash flow forecast'!$B173,Assumptions!$D$135:$D$155,"Annual"),0)),"")</f>
        <v>147</v>
      </c>
      <c r="Z173" s="223">
        <f>IFERROR(IF(INDEX(Assumptions!$D$135:$D$155,MATCH('Cash flow forecast'!$B173,Assumptions!$A$135:$A$155,0))="Monthly",(SUMIFS(Assumptions!$B$135:$B$155,Assumptions!$A$135:$A$155,'Cash flow forecast'!$B173,Assumptions!$E$135:$E$155,"&lt;="&amp;'Cash flow forecast'!Z$5))*(INDEX(Assumptions!$C$135:$C$155,MATCH('Cash flow forecast'!$B173,Assumptions!$A$135:$A$155,0))),IF(OR('Cash flow forecast'!Z$5=INDEX(Assumptions!$E$135:$E$155,MATCH('Cash flow forecast'!$B173,Assumptions!$A$135:$A$155,0)),'Cash flow forecast'!Z$5=INDEX(Assumptions!$F$135:$F$155,MATCH('Cash flow forecast'!$B173,Assumptions!$A$135:$A$155,0))),SUMIFS(Assumptions!$B$135:$B$155,Assumptions!$A$135:$A$155,'Cash flow forecast'!$B173,Assumptions!$D$135:$D$155,"Annual"),0)),"")</f>
        <v>147</v>
      </c>
      <c r="AA173" s="221">
        <f t="shared" si="172"/>
        <v>441</v>
      </c>
      <c r="AB173" s="224">
        <f t="shared" si="172"/>
        <v>441</v>
      </c>
      <c r="AC173" s="224">
        <f t="shared" si="172"/>
        <v>441</v>
      </c>
      <c r="AD173" s="224">
        <f t="shared" si="172"/>
        <v>441</v>
      </c>
      <c r="AE173" s="225">
        <f t="shared" si="173"/>
        <v>1764</v>
      </c>
      <c r="AF173" s="221">
        <f t="shared" si="176"/>
        <v>441</v>
      </c>
      <c r="AG173" s="224">
        <f t="shared" si="174"/>
        <v>441</v>
      </c>
      <c r="AH173" s="224">
        <f t="shared" si="174"/>
        <v>441</v>
      </c>
      <c r="AI173" s="223">
        <f t="shared" si="174"/>
        <v>441</v>
      </c>
      <c r="AJ173" s="225">
        <f t="shared" si="177"/>
        <v>1764</v>
      </c>
      <c r="AK173" s="243">
        <f t="shared" si="175"/>
        <v>3.4508834750766985E-3</v>
      </c>
    </row>
    <row r="174" spans="2:37" ht="22.15" hidden="1" customHeight="1" outlineLevel="1" x14ac:dyDescent="0.25">
      <c r="B174" s="91" t="str">
        <f>IF(Assumptions!$A151="","",Assumptions!$A151)</f>
        <v>Test 17</v>
      </c>
      <c r="C174" s="221">
        <f>IFERROR(IF(INDEX(Assumptions!$D$135:$D$155,MATCH('Cash flow forecast'!$B174,Assumptions!$A$135:$A$155,0))="Monthly",(SUMIFS(Assumptions!$B$135:$B$155,Assumptions!$A$135:$A$155,'Cash flow forecast'!$B174,Assumptions!$E$135:$E$155,"&lt;="&amp;'Cash flow forecast'!C$5))*(INDEX(Assumptions!$C$135:$C$155,MATCH('Cash flow forecast'!$B174,Assumptions!$A$135:$A$155,0))),IF(OR('Cash flow forecast'!C$5=INDEX(Assumptions!$E$135:$E$155,MATCH('Cash flow forecast'!$B174,Assumptions!$A$135:$A$155,0)),'Cash flow forecast'!C$5=INDEX(Assumptions!$F$135:$F$155,MATCH('Cash flow forecast'!$B174,Assumptions!$A$135:$A$155,0))),SUMIFS(Assumptions!$B$135:$B$155,Assumptions!$A$135:$A$155,'Cash flow forecast'!$B174,Assumptions!$D$135:$D$155,"Annual"),0)),"")</f>
        <v>240</v>
      </c>
      <c r="D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forecast'!D$5))*(INDEX(Assumptions!$C$135:$C$155,MATCH('Cash flow forecast'!$B174,Assumptions!$A$135:$A$155,0))),IF(OR('Cash flow forecast'!D$5=INDEX(Assumptions!$E$135:$E$155,MATCH('Cash flow forecast'!$B174,Assumptions!$A$135:$A$155,0)),'Cash flow forecast'!D$5=INDEX(Assumptions!$F$135:$F$155,MATCH('Cash flow forecast'!$B174,Assumptions!$A$135:$A$155,0))),SUMIFS(Assumptions!$B$135:$B$155,Assumptions!$A$135:$A$155,'Cash flow forecast'!$B174,Assumptions!$D$135:$D$155,"Annual"),0)),"")</f>
        <v>240</v>
      </c>
      <c r="E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forecast'!E$5))*(INDEX(Assumptions!$C$135:$C$155,MATCH('Cash flow forecast'!$B174,Assumptions!$A$135:$A$155,0))),IF(OR('Cash flow forecast'!E$5=INDEX(Assumptions!$E$135:$E$155,MATCH('Cash flow forecast'!$B174,Assumptions!$A$135:$A$155,0)),'Cash flow forecast'!E$5=INDEX(Assumptions!$F$135:$F$155,MATCH('Cash flow forecast'!$B174,Assumptions!$A$135:$A$155,0))),SUMIFS(Assumptions!$B$135:$B$155,Assumptions!$A$135:$A$155,'Cash flow forecast'!$B174,Assumptions!$D$135:$D$155,"Annual"),0)),"")</f>
        <v>240</v>
      </c>
      <c r="F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forecast'!F$5))*(INDEX(Assumptions!$C$135:$C$155,MATCH('Cash flow forecast'!$B174,Assumptions!$A$135:$A$155,0))),IF(OR('Cash flow forecast'!F$5=INDEX(Assumptions!$E$135:$E$155,MATCH('Cash flow forecast'!$B174,Assumptions!$A$135:$A$155,0)),'Cash flow forecast'!F$5=INDEX(Assumptions!$F$135:$F$155,MATCH('Cash flow forecast'!$B174,Assumptions!$A$135:$A$155,0))),SUMIFS(Assumptions!$B$135:$B$155,Assumptions!$A$135:$A$155,'Cash flow forecast'!$B174,Assumptions!$D$135:$D$155,"Annual"),0)),"")</f>
        <v>240</v>
      </c>
      <c r="G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forecast'!G$5))*(INDEX(Assumptions!$C$135:$C$155,MATCH('Cash flow forecast'!$B174,Assumptions!$A$135:$A$155,0))),IF(OR('Cash flow forecast'!G$5=INDEX(Assumptions!$E$135:$E$155,MATCH('Cash flow forecast'!$B174,Assumptions!$A$135:$A$155,0)),'Cash flow forecast'!G$5=INDEX(Assumptions!$F$135:$F$155,MATCH('Cash flow forecast'!$B174,Assumptions!$A$135:$A$155,0))),SUMIFS(Assumptions!$B$135:$B$155,Assumptions!$A$135:$A$155,'Cash flow forecast'!$B174,Assumptions!$D$135:$D$155,"Annual"),0)),"")</f>
        <v>240</v>
      </c>
      <c r="H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forecast'!H$5))*(INDEX(Assumptions!$C$135:$C$155,MATCH('Cash flow forecast'!$B174,Assumptions!$A$135:$A$155,0))),IF(OR('Cash flow forecast'!H$5=INDEX(Assumptions!$E$135:$E$155,MATCH('Cash flow forecast'!$B174,Assumptions!$A$135:$A$155,0)),'Cash flow forecast'!H$5=INDEX(Assumptions!$F$135:$F$155,MATCH('Cash flow forecast'!$B174,Assumptions!$A$135:$A$155,0))),SUMIFS(Assumptions!$B$135:$B$155,Assumptions!$A$135:$A$155,'Cash flow forecast'!$B174,Assumptions!$D$135:$D$155,"Annual"),0)),"")</f>
        <v>240</v>
      </c>
      <c r="I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forecast'!I$5))*(INDEX(Assumptions!$C$135:$C$155,MATCH('Cash flow forecast'!$B174,Assumptions!$A$135:$A$155,0))),IF(OR('Cash flow forecast'!I$5=INDEX(Assumptions!$E$135:$E$155,MATCH('Cash flow forecast'!$B174,Assumptions!$A$135:$A$155,0)),'Cash flow forecast'!I$5=INDEX(Assumptions!$F$135:$F$155,MATCH('Cash flow forecast'!$B174,Assumptions!$A$135:$A$155,0))),SUMIFS(Assumptions!$B$135:$B$155,Assumptions!$A$135:$A$155,'Cash flow forecast'!$B174,Assumptions!$D$135:$D$155,"Annual"),0)),"")</f>
        <v>240</v>
      </c>
      <c r="J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forecast'!J$5))*(INDEX(Assumptions!$C$135:$C$155,MATCH('Cash flow forecast'!$B174,Assumptions!$A$135:$A$155,0))),IF(OR('Cash flow forecast'!J$5=INDEX(Assumptions!$E$135:$E$155,MATCH('Cash flow forecast'!$B174,Assumptions!$A$135:$A$155,0)),'Cash flow forecast'!J$5=INDEX(Assumptions!$F$135:$F$155,MATCH('Cash flow forecast'!$B174,Assumptions!$A$135:$A$155,0))),SUMIFS(Assumptions!$B$135:$B$155,Assumptions!$A$135:$A$155,'Cash flow forecast'!$B174,Assumptions!$D$135:$D$155,"Annual"),0)),"")</f>
        <v>240</v>
      </c>
      <c r="K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forecast'!K$5))*(INDEX(Assumptions!$C$135:$C$155,MATCH('Cash flow forecast'!$B174,Assumptions!$A$135:$A$155,0))),IF(OR('Cash flow forecast'!K$5=INDEX(Assumptions!$E$135:$E$155,MATCH('Cash flow forecast'!$B174,Assumptions!$A$135:$A$155,0)),'Cash flow forecast'!K$5=INDEX(Assumptions!$F$135:$F$155,MATCH('Cash flow forecast'!$B174,Assumptions!$A$135:$A$155,0))),SUMIFS(Assumptions!$B$135:$B$155,Assumptions!$A$135:$A$155,'Cash flow forecast'!$B174,Assumptions!$D$135:$D$155,"Annual"),0)),"")</f>
        <v>240</v>
      </c>
      <c r="L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forecast'!L$5))*(INDEX(Assumptions!$C$135:$C$155,MATCH('Cash flow forecast'!$B174,Assumptions!$A$135:$A$155,0))),IF(OR('Cash flow forecast'!L$5=INDEX(Assumptions!$E$135:$E$155,MATCH('Cash flow forecast'!$B174,Assumptions!$A$135:$A$155,0)),'Cash flow forecast'!L$5=INDEX(Assumptions!$F$135:$F$155,MATCH('Cash flow forecast'!$B174,Assumptions!$A$135:$A$155,0))),SUMIFS(Assumptions!$B$135:$B$155,Assumptions!$A$135:$A$155,'Cash flow forecast'!$B174,Assumptions!$D$135:$D$155,"Annual"),0)),"")</f>
        <v>240</v>
      </c>
      <c r="M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forecast'!M$5))*(INDEX(Assumptions!$C$135:$C$155,MATCH('Cash flow forecast'!$B174,Assumptions!$A$135:$A$155,0))),IF(OR('Cash flow forecast'!M$5=INDEX(Assumptions!$E$135:$E$155,MATCH('Cash flow forecast'!$B174,Assumptions!$A$135:$A$155,0)),'Cash flow forecast'!M$5=INDEX(Assumptions!$F$135:$F$155,MATCH('Cash flow forecast'!$B174,Assumptions!$A$135:$A$155,0))),SUMIFS(Assumptions!$B$135:$B$155,Assumptions!$A$135:$A$155,'Cash flow forecast'!$B174,Assumptions!$D$135:$D$155,"Annual"),0)),"")</f>
        <v>240</v>
      </c>
      <c r="N174" s="223">
        <f>IFERROR(IF(INDEX(Assumptions!$D$135:$D$155,MATCH('Cash flow forecast'!$B174,Assumptions!$A$135:$A$155,0))="Monthly",(SUMIFS(Assumptions!$B$135:$B$155,Assumptions!$A$135:$A$155,'Cash flow forecast'!$B174,Assumptions!$E$135:$E$155,"&lt;="&amp;'Cash flow forecast'!N$5))*(INDEX(Assumptions!$C$135:$C$155,MATCH('Cash flow forecast'!$B174,Assumptions!$A$135:$A$155,0))),IF(OR('Cash flow forecast'!N$5=INDEX(Assumptions!$E$135:$E$155,MATCH('Cash flow forecast'!$B174,Assumptions!$A$135:$A$155,0)),'Cash flow forecast'!N$5=INDEX(Assumptions!$F$135:$F$155,MATCH('Cash flow forecast'!$B174,Assumptions!$A$135:$A$155,0))),SUMIFS(Assumptions!$B$135:$B$155,Assumptions!$A$135:$A$155,'Cash flow forecast'!$B174,Assumptions!$D$135:$D$155,"Annual"),0)),"")</f>
        <v>240</v>
      </c>
      <c r="O174" s="221">
        <f>IFERROR(IF(INDEX(Assumptions!$D$135:$D$155,MATCH('Cash flow forecast'!$B174,Assumptions!$A$135:$A$155,0))="Monthly",(SUMIFS(Assumptions!$B$135:$B$155,Assumptions!$A$135:$A$155,'Cash flow forecast'!$B174,Assumptions!$E$135:$E$155,"&lt;="&amp;'Cash flow forecast'!O$5))*(INDEX(Assumptions!$C$135:$C$155,MATCH('Cash flow forecast'!$B174,Assumptions!$A$135:$A$155,0))),IF(OR('Cash flow forecast'!O$5=INDEX(Assumptions!$E$135:$E$155,MATCH('Cash flow forecast'!$B174,Assumptions!$A$135:$A$155,0)),'Cash flow forecast'!O$5=INDEX(Assumptions!$F$135:$F$155,MATCH('Cash flow forecast'!$B174,Assumptions!$A$135:$A$155,0))),SUMIFS(Assumptions!$B$135:$B$155,Assumptions!$A$135:$A$155,'Cash flow forecast'!$B174,Assumptions!$D$135:$D$155,"Annual"),0)),"")</f>
        <v>240</v>
      </c>
      <c r="P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forecast'!P$5))*(INDEX(Assumptions!$C$135:$C$155,MATCH('Cash flow forecast'!$B174,Assumptions!$A$135:$A$155,0))),IF(OR('Cash flow forecast'!P$5=INDEX(Assumptions!$E$135:$E$155,MATCH('Cash flow forecast'!$B174,Assumptions!$A$135:$A$155,0)),'Cash flow forecast'!P$5=INDEX(Assumptions!$F$135:$F$155,MATCH('Cash flow forecast'!$B174,Assumptions!$A$135:$A$155,0))),SUMIFS(Assumptions!$B$135:$B$155,Assumptions!$A$135:$A$155,'Cash flow forecast'!$B174,Assumptions!$D$135:$D$155,"Annual"),0)),"")</f>
        <v>240</v>
      </c>
      <c r="Q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forecast'!Q$5))*(INDEX(Assumptions!$C$135:$C$155,MATCH('Cash flow forecast'!$B174,Assumptions!$A$135:$A$155,0))),IF(OR('Cash flow forecast'!Q$5=INDEX(Assumptions!$E$135:$E$155,MATCH('Cash flow forecast'!$B174,Assumptions!$A$135:$A$155,0)),'Cash flow forecast'!Q$5=INDEX(Assumptions!$F$135:$F$155,MATCH('Cash flow forecast'!$B174,Assumptions!$A$135:$A$155,0))),SUMIFS(Assumptions!$B$135:$B$155,Assumptions!$A$135:$A$155,'Cash flow forecast'!$B174,Assumptions!$D$135:$D$155,"Annual"),0)),"")</f>
        <v>240</v>
      </c>
      <c r="R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forecast'!R$5))*(INDEX(Assumptions!$C$135:$C$155,MATCH('Cash flow forecast'!$B174,Assumptions!$A$135:$A$155,0))),IF(OR('Cash flow forecast'!R$5=INDEX(Assumptions!$E$135:$E$155,MATCH('Cash flow forecast'!$B174,Assumptions!$A$135:$A$155,0)),'Cash flow forecast'!R$5=INDEX(Assumptions!$F$135:$F$155,MATCH('Cash flow forecast'!$B174,Assumptions!$A$135:$A$155,0))),SUMIFS(Assumptions!$B$135:$B$155,Assumptions!$A$135:$A$155,'Cash flow forecast'!$B174,Assumptions!$D$135:$D$155,"Annual"),0)),"")</f>
        <v>240</v>
      </c>
      <c r="S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forecast'!S$5))*(INDEX(Assumptions!$C$135:$C$155,MATCH('Cash flow forecast'!$B174,Assumptions!$A$135:$A$155,0))),IF(OR('Cash flow forecast'!S$5=INDEX(Assumptions!$E$135:$E$155,MATCH('Cash flow forecast'!$B174,Assumptions!$A$135:$A$155,0)),'Cash flow forecast'!S$5=INDEX(Assumptions!$F$135:$F$155,MATCH('Cash flow forecast'!$B174,Assumptions!$A$135:$A$155,0))),SUMIFS(Assumptions!$B$135:$B$155,Assumptions!$A$135:$A$155,'Cash flow forecast'!$B174,Assumptions!$D$135:$D$155,"Annual"),0)),"")</f>
        <v>240</v>
      </c>
      <c r="T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forecast'!T$5))*(INDEX(Assumptions!$C$135:$C$155,MATCH('Cash flow forecast'!$B174,Assumptions!$A$135:$A$155,0))),IF(OR('Cash flow forecast'!T$5=INDEX(Assumptions!$E$135:$E$155,MATCH('Cash flow forecast'!$B174,Assumptions!$A$135:$A$155,0)),'Cash flow forecast'!T$5=INDEX(Assumptions!$F$135:$F$155,MATCH('Cash flow forecast'!$B174,Assumptions!$A$135:$A$155,0))),SUMIFS(Assumptions!$B$135:$B$155,Assumptions!$A$135:$A$155,'Cash flow forecast'!$B174,Assumptions!$D$135:$D$155,"Annual"),0)),"")</f>
        <v>240</v>
      </c>
      <c r="U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forecast'!U$5))*(INDEX(Assumptions!$C$135:$C$155,MATCH('Cash flow forecast'!$B174,Assumptions!$A$135:$A$155,0))),IF(OR('Cash flow forecast'!U$5=INDEX(Assumptions!$E$135:$E$155,MATCH('Cash flow forecast'!$B174,Assumptions!$A$135:$A$155,0)),'Cash flow forecast'!U$5=INDEX(Assumptions!$F$135:$F$155,MATCH('Cash flow forecast'!$B174,Assumptions!$A$135:$A$155,0))),SUMIFS(Assumptions!$B$135:$B$155,Assumptions!$A$135:$A$155,'Cash flow forecast'!$B174,Assumptions!$D$135:$D$155,"Annual"),0)),"")</f>
        <v>240</v>
      </c>
      <c r="V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forecast'!V$5))*(INDEX(Assumptions!$C$135:$C$155,MATCH('Cash flow forecast'!$B174,Assumptions!$A$135:$A$155,0))),IF(OR('Cash flow forecast'!V$5=INDEX(Assumptions!$E$135:$E$155,MATCH('Cash flow forecast'!$B174,Assumptions!$A$135:$A$155,0)),'Cash flow forecast'!V$5=INDEX(Assumptions!$F$135:$F$155,MATCH('Cash flow forecast'!$B174,Assumptions!$A$135:$A$155,0))),SUMIFS(Assumptions!$B$135:$B$155,Assumptions!$A$135:$A$155,'Cash flow forecast'!$B174,Assumptions!$D$135:$D$155,"Annual"),0)),"")</f>
        <v>240</v>
      </c>
      <c r="W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forecast'!W$5))*(INDEX(Assumptions!$C$135:$C$155,MATCH('Cash flow forecast'!$B174,Assumptions!$A$135:$A$155,0))),IF(OR('Cash flow forecast'!W$5=INDEX(Assumptions!$E$135:$E$155,MATCH('Cash flow forecast'!$B174,Assumptions!$A$135:$A$155,0)),'Cash flow forecast'!W$5=INDEX(Assumptions!$F$135:$F$155,MATCH('Cash flow forecast'!$B174,Assumptions!$A$135:$A$155,0))),SUMIFS(Assumptions!$B$135:$B$155,Assumptions!$A$135:$A$155,'Cash flow forecast'!$B174,Assumptions!$D$135:$D$155,"Annual"),0)),"")</f>
        <v>240</v>
      </c>
      <c r="X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forecast'!X$5))*(INDEX(Assumptions!$C$135:$C$155,MATCH('Cash flow forecast'!$B174,Assumptions!$A$135:$A$155,0))),IF(OR('Cash flow forecast'!X$5=INDEX(Assumptions!$E$135:$E$155,MATCH('Cash flow forecast'!$B174,Assumptions!$A$135:$A$155,0)),'Cash flow forecast'!X$5=INDEX(Assumptions!$F$135:$F$155,MATCH('Cash flow forecast'!$B174,Assumptions!$A$135:$A$155,0))),SUMIFS(Assumptions!$B$135:$B$155,Assumptions!$A$135:$A$155,'Cash flow forecast'!$B174,Assumptions!$D$135:$D$155,"Annual"),0)),"")</f>
        <v>240</v>
      </c>
      <c r="Y174" s="222">
        <f>IFERROR(IF(INDEX(Assumptions!$D$135:$D$155,MATCH('Cash flow forecast'!$B174,Assumptions!$A$135:$A$155,0))="Monthly",(SUMIFS(Assumptions!$B$135:$B$155,Assumptions!$A$135:$A$155,'Cash flow forecast'!$B174,Assumptions!$E$135:$E$155,"&lt;="&amp;'Cash flow forecast'!Y$5))*(INDEX(Assumptions!$C$135:$C$155,MATCH('Cash flow forecast'!$B174,Assumptions!$A$135:$A$155,0))),IF(OR('Cash flow forecast'!Y$5=INDEX(Assumptions!$E$135:$E$155,MATCH('Cash flow forecast'!$B174,Assumptions!$A$135:$A$155,0)),'Cash flow forecast'!Y$5=INDEX(Assumptions!$F$135:$F$155,MATCH('Cash flow forecast'!$B174,Assumptions!$A$135:$A$155,0))),SUMIFS(Assumptions!$B$135:$B$155,Assumptions!$A$135:$A$155,'Cash flow forecast'!$B174,Assumptions!$D$135:$D$155,"Annual"),0)),"")</f>
        <v>240</v>
      </c>
      <c r="Z174" s="223">
        <f>IFERROR(IF(INDEX(Assumptions!$D$135:$D$155,MATCH('Cash flow forecast'!$B174,Assumptions!$A$135:$A$155,0))="Monthly",(SUMIFS(Assumptions!$B$135:$B$155,Assumptions!$A$135:$A$155,'Cash flow forecast'!$B174,Assumptions!$E$135:$E$155,"&lt;="&amp;'Cash flow forecast'!Z$5))*(INDEX(Assumptions!$C$135:$C$155,MATCH('Cash flow forecast'!$B174,Assumptions!$A$135:$A$155,0))),IF(OR('Cash flow forecast'!Z$5=INDEX(Assumptions!$E$135:$E$155,MATCH('Cash flow forecast'!$B174,Assumptions!$A$135:$A$155,0)),'Cash flow forecast'!Z$5=INDEX(Assumptions!$F$135:$F$155,MATCH('Cash flow forecast'!$B174,Assumptions!$A$135:$A$155,0))),SUMIFS(Assumptions!$B$135:$B$155,Assumptions!$A$135:$A$155,'Cash flow forecast'!$B174,Assumptions!$D$135:$D$155,"Annual"),0)),"")</f>
        <v>240</v>
      </c>
      <c r="AA174" s="221">
        <f t="shared" ref="AA174:AD194" si="178">SUMIFS($C174:$N174,$C$6:$N$6,AA$5)</f>
        <v>720</v>
      </c>
      <c r="AB174" s="224">
        <f t="shared" si="178"/>
        <v>720</v>
      </c>
      <c r="AC174" s="224">
        <f t="shared" si="178"/>
        <v>720</v>
      </c>
      <c r="AD174" s="224">
        <f t="shared" si="178"/>
        <v>720</v>
      </c>
      <c r="AE174" s="225">
        <f t="shared" si="173"/>
        <v>2880</v>
      </c>
      <c r="AF174" s="221">
        <f t="shared" si="176"/>
        <v>720</v>
      </c>
      <c r="AG174" s="224">
        <f t="shared" si="176"/>
        <v>720</v>
      </c>
      <c r="AH174" s="224">
        <f t="shared" si="176"/>
        <v>720</v>
      </c>
      <c r="AI174" s="223">
        <f t="shared" si="176"/>
        <v>720</v>
      </c>
      <c r="AJ174" s="225">
        <f t="shared" si="177"/>
        <v>2880</v>
      </c>
      <c r="AK174" s="243">
        <f t="shared" si="175"/>
        <v>5.6340954695129767E-3</v>
      </c>
    </row>
    <row r="175" spans="2:37" ht="22.15" hidden="1" customHeight="1" outlineLevel="1" x14ac:dyDescent="0.25">
      <c r="B175" s="91" t="str">
        <f>IF(Assumptions!$A152="","",Assumptions!$A152)</f>
        <v>Test 18</v>
      </c>
      <c r="C175" s="221">
        <f>IFERROR(IF(INDEX(Assumptions!$D$135:$D$155,MATCH('Cash flow forecast'!$B175,Assumptions!$A$135:$A$155,0))="Monthly",(SUMIFS(Assumptions!$B$135:$B$155,Assumptions!$A$135:$A$155,'Cash flow forecast'!$B175,Assumptions!$E$135:$E$155,"&lt;="&amp;'Cash flow forecast'!C$5))*(INDEX(Assumptions!$C$135:$C$155,MATCH('Cash flow forecast'!$B175,Assumptions!$A$135:$A$155,0))),IF(OR('Cash flow forecast'!C$5=INDEX(Assumptions!$E$135:$E$155,MATCH('Cash flow forecast'!$B175,Assumptions!$A$135:$A$155,0)),'Cash flow forecast'!C$5=INDEX(Assumptions!$F$135:$F$155,MATCH('Cash flow forecast'!$B175,Assumptions!$A$135:$A$155,0))),SUMIFS(Assumptions!$B$135:$B$155,Assumptions!$A$135:$A$155,'Cash flow forecast'!$B175,Assumptions!$D$135:$D$155,"Annual"),0)),"")</f>
        <v>0</v>
      </c>
      <c r="D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forecast'!D$5))*(INDEX(Assumptions!$C$135:$C$155,MATCH('Cash flow forecast'!$B175,Assumptions!$A$135:$A$155,0))),IF(OR('Cash flow forecast'!D$5=INDEX(Assumptions!$E$135:$E$155,MATCH('Cash flow forecast'!$B175,Assumptions!$A$135:$A$155,0)),'Cash flow forecast'!D$5=INDEX(Assumptions!$F$135:$F$155,MATCH('Cash flow forecast'!$B175,Assumptions!$A$135:$A$155,0))),SUMIFS(Assumptions!$B$135:$B$155,Assumptions!$A$135:$A$155,'Cash flow forecast'!$B175,Assumptions!$D$135:$D$155,"Annual"),0)),"")</f>
        <v>0</v>
      </c>
      <c r="E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forecast'!E$5))*(INDEX(Assumptions!$C$135:$C$155,MATCH('Cash flow forecast'!$B175,Assumptions!$A$135:$A$155,0))),IF(OR('Cash flow forecast'!E$5=INDEX(Assumptions!$E$135:$E$155,MATCH('Cash flow forecast'!$B175,Assumptions!$A$135:$A$155,0)),'Cash flow forecast'!E$5=INDEX(Assumptions!$F$135:$F$155,MATCH('Cash flow forecast'!$B175,Assumptions!$A$135:$A$155,0))),SUMIFS(Assumptions!$B$135:$B$155,Assumptions!$A$135:$A$155,'Cash flow forecast'!$B175,Assumptions!$D$135:$D$155,"Annual"),0)),"")</f>
        <v>0</v>
      </c>
      <c r="F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forecast'!F$5))*(INDEX(Assumptions!$C$135:$C$155,MATCH('Cash flow forecast'!$B175,Assumptions!$A$135:$A$155,0))),IF(OR('Cash flow forecast'!F$5=INDEX(Assumptions!$E$135:$E$155,MATCH('Cash flow forecast'!$B175,Assumptions!$A$135:$A$155,0)),'Cash flow forecast'!F$5=INDEX(Assumptions!$F$135:$F$155,MATCH('Cash flow forecast'!$B175,Assumptions!$A$135:$A$155,0))),SUMIFS(Assumptions!$B$135:$B$155,Assumptions!$A$135:$A$155,'Cash flow forecast'!$B175,Assumptions!$D$135:$D$155,"Annual"),0)),"")</f>
        <v>0</v>
      </c>
      <c r="G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forecast'!G$5))*(INDEX(Assumptions!$C$135:$C$155,MATCH('Cash flow forecast'!$B175,Assumptions!$A$135:$A$155,0))),IF(OR('Cash flow forecast'!G$5=INDEX(Assumptions!$E$135:$E$155,MATCH('Cash flow forecast'!$B175,Assumptions!$A$135:$A$155,0)),'Cash flow forecast'!G$5=INDEX(Assumptions!$F$135:$F$155,MATCH('Cash flow forecast'!$B175,Assumptions!$A$135:$A$155,0))),SUMIFS(Assumptions!$B$135:$B$155,Assumptions!$A$135:$A$155,'Cash flow forecast'!$B175,Assumptions!$D$135:$D$155,"Annual"),0)),"")</f>
        <v>0</v>
      </c>
      <c r="H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forecast'!H$5))*(INDEX(Assumptions!$C$135:$C$155,MATCH('Cash flow forecast'!$B175,Assumptions!$A$135:$A$155,0))),IF(OR('Cash flow forecast'!H$5=INDEX(Assumptions!$E$135:$E$155,MATCH('Cash flow forecast'!$B175,Assumptions!$A$135:$A$155,0)),'Cash flow forecast'!H$5=INDEX(Assumptions!$F$135:$F$155,MATCH('Cash flow forecast'!$B175,Assumptions!$A$135:$A$155,0))),SUMIFS(Assumptions!$B$135:$B$155,Assumptions!$A$135:$A$155,'Cash flow forecast'!$B175,Assumptions!$D$135:$D$155,"Annual"),0)),"")</f>
        <v>0</v>
      </c>
      <c r="I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forecast'!I$5))*(INDEX(Assumptions!$C$135:$C$155,MATCH('Cash flow forecast'!$B175,Assumptions!$A$135:$A$155,0))),IF(OR('Cash flow forecast'!I$5=INDEX(Assumptions!$E$135:$E$155,MATCH('Cash flow forecast'!$B175,Assumptions!$A$135:$A$155,0)),'Cash flow forecast'!I$5=INDEX(Assumptions!$F$135:$F$155,MATCH('Cash flow forecast'!$B175,Assumptions!$A$135:$A$155,0))),SUMIFS(Assumptions!$B$135:$B$155,Assumptions!$A$135:$A$155,'Cash flow forecast'!$B175,Assumptions!$D$135:$D$155,"Annual"),0)),"")</f>
        <v>0</v>
      </c>
      <c r="J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forecast'!J$5))*(INDEX(Assumptions!$C$135:$C$155,MATCH('Cash flow forecast'!$B175,Assumptions!$A$135:$A$155,0))),IF(OR('Cash flow forecast'!J$5=INDEX(Assumptions!$E$135:$E$155,MATCH('Cash flow forecast'!$B175,Assumptions!$A$135:$A$155,0)),'Cash flow forecast'!J$5=INDEX(Assumptions!$F$135:$F$155,MATCH('Cash flow forecast'!$B175,Assumptions!$A$135:$A$155,0))),SUMIFS(Assumptions!$B$135:$B$155,Assumptions!$A$135:$A$155,'Cash flow forecast'!$B175,Assumptions!$D$135:$D$155,"Annual"),0)),"")</f>
        <v>0</v>
      </c>
      <c r="K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forecast'!K$5))*(INDEX(Assumptions!$C$135:$C$155,MATCH('Cash flow forecast'!$B175,Assumptions!$A$135:$A$155,0))),IF(OR('Cash flow forecast'!K$5=INDEX(Assumptions!$E$135:$E$155,MATCH('Cash flow forecast'!$B175,Assumptions!$A$135:$A$155,0)),'Cash flow forecast'!K$5=INDEX(Assumptions!$F$135:$F$155,MATCH('Cash flow forecast'!$B175,Assumptions!$A$135:$A$155,0))),SUMIFS(Assumptions!$B$135:$B$155,Assumptions!$A$135:$A$155,'Cash flow forecast'!$B175,Assumptions!$D$135:$D$155,"Annual"),0)),"")</f>
        <v>0</v>
      </c>
      <c r="L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forecast'!L$5))*(INDEX(Assumptions!$C$135:$C$155,MATCH('Cash flow forecast'!$B175,Assumptions!$A$135:$A$155,0))),IF(OR('Cash flow forecast'!L$5=INDEX(Assumptions!$E$135:$E$155,MATCH('Cash flow forecast'!$B175,Assumptions!$A$135:$A$155,0)),'Cash flow forecast'!L$5=INDEX(Assumptions!$F$135:$F$155,MATCH('Cash flow forecast'!$B175,Assumptions!$A$135:$A$155,0))),SUMIFS(Assumptions!$B$135:$B$155,Assumptions!$A$135:$A$155,'Cash flow forecast'!$B175,Assumptions!$D$135:$D$155,"Annual"),0)),"")</f>
        <v>0</v>
      </c>
      <c r="M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forecast'!M$5))*(INDEX(Assumptions!$C$135:$C$155,MATCH('Cash flow forecast'!$B175,Assumptions!$A$135:$A$155,0))),IF(OR('Cash flow forecast'!M$5=INDEX(Assumptions!$E$135:$E$155,MATCH('Cash flow forecast'!$B175,Assumptions!$A$135:$A$155,0)),'Cash flow forecast'!M$5=INDEX(Assumptions!$F$135:$F$155,MATCH('Cash flow forecast'!$B175,Assumptions!$A$135:$A$155,0))),SUMIFS(Assumptions!$B$135:$B$155,Assumptions!$A$135:$A$155,'Cash flow forecast'!$B175,Assumptions!$D$135:$D$155,"Annual"),0)),"")</f>
        <v>0</v>
      </c>
      <c r="N175" s="223">
        <f>IFERROR(IF(INDEX(Assumptions!$D$135:$D$155,MATCH('Cash flow forecast'!$B175,Assumptions!$A$135:$A$155,0))="Monthly",(SUMIFS(Assumptions!$B$135:$B$155,Assumptions!$A$135:$A$155,'Cash flow forecast'!$B175,Assumptions!$E$135:$E$155,"&lt;="&amp;'Cash flow forecast'!N$5))*(INDEX(Assumptions!$C$135:$C$155,MATCH('Cash flow forecast'!$B175,Assumptions!$A$135:$A$155,0))),IF(OR('Cash flow forecast'!N$5=INDEX(Assumptions!$E$135:$E$155,MATCH('Cash flow forecast'!$B175,Assumptions!$A$135:$A$155,0)),'Cash flow forecast'!N$5=INDEX(Assumptions!$F$135:$F$155,MATCH('Cash flow forecast'!$B175,Assumptions!$A$135:$A$155,0))),SUMIFS(Assumptions!$B$135:$B$155,Assumptions!$A$135:$A$155,'Cash flow forecast'!$B175,Assumptions!$D$135:$D$155,"Annual"),0)),"")</f>
        <v>0</v>
      </c>
      <c r="O175" s="221">
        <f>IFERROR(IF(INDEX(Assumptions!$D$135:$D$155,MATCH('Cash flow forecast'!$B175,Assumptions!$A$135:$A$155,0))="Monthly",(SUMIFS(Assumptions!$B$135:$B$155,Assumptions!$A$135:$A$155,'Cash flow forecast'!$B175,Assumptions!$E$135:$E$155,"&lt;="&amp;'Cash flow forecast'!O$5))*(INDEX(Assumptions!$C$135:$C$155,MATCH('Cash flow forecast'!$B175,Assumptions!$A$135:$A$155,0))),IF(OR('Cash flow forecast'!O$5=INDEX(Assumptions!$E$135:$E$155,MATCH('Cash flow forecast'!$B175,Assumptions!$A$135:$A$155,0)),'Cash flow forecast'!O$5=INDEX(Assumptions!$F$135:$F$155,MATCH('Cash flow forecast'!$B175,Assumptions!$A$135:$A$155,0))),SUMIFS(Assumptions!$B$135:$B$155,Assumptions!$A$135:$A$155,'Cash flow forecast'!$B175,Assumptions!$D$135:$D$155,"Annual"),0)),"")</f>
        <v>0</v>
      </c>
      <c r="P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forecast'!P$5))*(INDEX(Assumptions!$C$135:$C$155,MATCH('Cash flow forecast'!$B175,Assumptions!$A$135:$A$155,0))),IF(OR('Cash flow forecast'!P$5=INDEX(Assumptions!$E$135:$E$155,MATCH('Cash flow forecast'!$B175,Assumptions!$A$135:$A$155,0)),'Cash flow forecast'!P$5=INDEX(Assumptions!$F$135:$F$155,MATCH('Cash flow forecast'!$B175,Assumptions!$A$135:$A$155,0))),SUMIFS(Assumptions!$B$135:$B$155,Assumptions!$A$135:$A$155,'Cash flow forecast'!$B175,Assumptions!$D$135:$D$155,"Annual"),0)),"")</f>
        <v>0</v>
      </c>
      <c r="Q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forecast'!Q$5))*(INDEX(Assumptions!$C$135:$C$155,MATCH('Cash flow forecast'!$B175,Assumptions!$A$135:$A$155,0))),IF(OR('Cash flow forecast'!Q$5=INDEX(Assumptions!$E$135:$E$155,MATCH('Cash flow forecast'!$B175,Assumptions!$A$135:$A$155,0)),'Cash flow forecast'!Q$5=INDEX(Assumptions!$F$135:$F$155,MATCH('Cash flow forecast'!$B175,Assumptions!$A$135:$A$155,0))),SUMIFS(Assumptions!$B$135:$B$155,Assumptions!$A$135:$A$155,'Cash flow forecast'!$B175,Assumptions!$D$135:$D$155,"Annual"),0)),"")</f>
        <v>0</v>
      </c>
      <c r="R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forecast'!R$5))*(INDEX(Assumptions!$C$135:$C$155,MATCH('Cash flow forecast'!$B175,Assumptions!$A$135:$A$155,0))),IF(OR('Cash flow forecast'!R$5=INDEX(Assumptions!$E$135:$E$155,MATCH('Cash flow forecast'!$B175,Assumptions!$A$135:$A$155,0)),'Cash flow forecast'!R$5=INDEX(Assumptions!$F$135:$F$155,MATCH('Cash flow forecast'!$B175,Assumptions!$A$135:$A$155,0))),SUMIFS(Assumptions!$B$135:$B$155,Assumptions!$A$135:$A$155,'Cash flow forecast'!$B175,Assumptions!$D$135:$D$155,"Annual"),0)),"")</f>
        <v>0</v>
      </c>
      <c r="S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forecast'!S$5))*(INDEX(Assumptions!$C$135:$C$155,MATCH('Cash flow forecast'!$B175,Assumptions!$A$135:$A$155,0))),IF(OR('Cash flow forecast'!S$5=INDEX(Assumptions!$E$135:$E$155,MATCH('Cash flow forecast'!$B175,Assumptions!$A$135:$A$155,0)),'Cash flow forecast'!S$5=INDEX(Assumptions!$F$135:$F$155,MATCH('Cash flow forecast'!$B175,Assumptions!$A$135:$A$155,0))),SUMIFS(Assumptions!$B$135:$B$155,Assumptions!$A$135:$A$155,'Cash flow forecast'!$B175,Assumptions!$D$135:$D$155,"Annual"),0)),"")</f>
        <v>0</v>
      </c>
      <c r="T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forecast'!T$5))*(INDEX(Assumptions!$C$135:$C$155,MATCH('Cash flow forecast'!$B175,Assumptions!$A$135:$A$155,0))),IF(OR('Cash flow forecast'!T$5=INDEX(Assumptions!$E$135:$E$155,MATCH('Cash flow forecast'!$B175,Assumptions!$A$135:$A$155,0)),'Cash flow forecast'!T$5=INDEX(Assumptions!$F$135:$F$155,MATCH('Cash flow forecast'!$B175,Assumptions!$A$135:$A$155,0))),SUMIFS(Assumptions!$B$135:$B$155,Assumptions!$A$135:$A$155,'Cash flow forecast'!$B175,Assumptions!$D$135:$D$155,"Annual"),0)),"")</f>
        <v>0</v>
      </c>
      <c r="U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forecast'!U$5))*(INDEX(Assumptions!$C$135:$C$155,MATCH('Cash flow forecast'!$B175,Assumptions!$A$135:$A$155,0))),IF(OR('Cash flow forecast'!U$5=INDEX(Assumptions!$E$135:$E$155,MATCH('Cash flow forecast'!$B175,Assumptions!$A$135:$A$155,0)),'Cash flow forecast'!U$5=INDEX(Assumptions!$F$135:$F$155,MATCH('Cash flow forecast'!$B175,Assumptions!$A$135:$A$155,0))),SUMIFS(Assumptions!$B$135:$B$155,Assumptions!$A$135:$A$155,'Cash flow forecast'!$B175,Assumptions!$D$135:$D$155,"Annual"),0)),"")</f>
        <v>0</v>
      </c>
      <c r="V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forecast'!V$5))*(INDEX(Assumptions!$C$135:$C$155,MATCH('Cash flow forecast'!$B175,Assumptions!$A$135:$A$155,0))),IF(OR('Cash flow forecast'!V$5=INDEX(Assumptions!$E$135:$E$155,MATCH('Cash flow forecast'!$B175,Assumptions!$A$135:$A$155,0)),'Cash flow forecast'!V$5=INDEX(Assumptions!$F$135:$F$155,MATCH('Cash flow forecast'!$B175,Assumptions!$A$135:$A$155,0))),SUMIFS(Assumptions!$B$135:$B$155,Assumptions!$A$135:$A$155,'Cash flow forecast'!$B175,Assumptions!$D$135:$D$155,"Annual"),0)),"")</f>
        <v>0</v>
      </c>
      <c r="W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forecast'!W$5))*(INDEX(Assumptions!$C$135:$C$155,MATCH('Cash flow forecast'!$B175,Assumptions!$A$135:$A$155,0))),IF(OR('Cash flow forecast'!W$5=INDEX(Assumptions!$E$135:$E$155,MATCH('Cash flow forecast'!$B175,Assumptions!$A$135:$A$155,0)),'Cash flow forecast'!W$5=INDEX(Assumptions!$F$135:$F$155,MATCH('Cash flow forecast'!$B175,Assumptions!$A$135:$A$155,0))),SUMIFS(Assumptions!$B$135:$B$155,Assumptions!$A$135:$A$155,'Cash flow forecast'!$B175,Assumptions!$D$135:$D$155,"Annual"),0)),"")</f>
        <v>0</v>
      </c>
      <c r="X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forecast'!X$5))*(INDEX(Assumptions!$C$135:$C$155,MATCH('Cash flow forecast'!$B175,Assumptions!$A$135:$A$155,0))),IF(OR('Cash flow forecast'!X$5=INDEX(Assumptions!$E$135:$E$155,MATCH('Cash flow forecast'!$B175,Assumptions!$A$135:$A$155,0)),'Cash flow forecast'!X$5=INDEX(Assumptions!$F$135:$F$155,MATCH('Cash flow forecast'!$B175,Assumptions!$A$135:$A$155,0))),SUMIFS(Assumptions!$B$135:$B$155,Assumptions!$A$135:$A$155,'Cash flow forecast'!$B175,Assumptions!$D$135:$D$155,"Annual"),0)),"")</f>
        <v>0</v>
      </c>
      <c r="Y175" s="222">
        <f>IFERROR(IF(INDEX(Assumptions!$D$135:$D$155,MATCH('Cash flow forecast'!$B175,Assumptions!$A$135:$A$155,0))="Monthly",(SUMIFS(Assumptions!$B$135:$B$155,Assumptions!$A$135:$A$155,'Cash flow forecast'!$B175,Assumptions!$E$135:$E$155,"&lt;="&amp;'Cash flow forecast'!Y$5))*(INDEX(Assumptions!$C$135:$C$155,MATCH('Cash flow forecast'!$B175,Assumptions!$A$135:$A$155,0))),IF(OR('Cash flow forecast'!Y$5=INDEX(Assumptions!$E$135:$E$155,MATCH('Cash flow forecast'!$B175,Assumptions!$A$135:$A$155,0)),'Cash flow forecast'!Y$5=INDEX(Assumptions!$F$135:$F$155,MATCH('Cash flow forecast'!$B175,Assumptions!$A$135:$A$155,0))),SUMIFS(Assumptions!$B$135:$B$155,Assumptions!$A$135:$A$155,'Cash flow forecast'!$B175,Assumptions!$D$135:$D$155,"Annual"),0)),"")</f>
        <v>0</v>
      </c>
      <c r="Z175" s="223">
        <f>IFERROR(IF(INDEX(Assumptions!$D$135:$D$155,MATCH('Cash flow forecast'!$B175,Assumptions!$A$135:$A$155,0))="Monthly",(SUMIFS(Assumptions!$B$135:$B$155,Assumptions!$A$135:$A$155,'Cash flow forecast'!$B175,Assumptions!$E$135:$E$155,"&lt;="&amp;'Cash flow forecast'!Z$5))*(INDEX(Assumptions!$C$135:$C$155,MATCH('Cash flow forecast'!$B175,Assumptions!$A$135:$A$155,0))),IF(OR('Cash flow forecast'!Z$5=INDEX(Assumptions!$E$135:$E$155,MATCH('Cash flow forecast'!$B175,Assumptions!$A$135:$A$155,0)),'Cash flow forecast'!Z$5=INDEX(Assumptions!$F$135:$F$155,MATCH('Cash flow forecast'!$B175,Assumptions!$A$135:$A$155,0))),SUMIFS(Assumptions!$B$135:$B$155,Assumptions!$A$135:$A$155,'Cash flow forecast'!$B175,Assumptions!$D$135:$D$155,"Annual"),0)),"")</f>
        <v>0</v>
      </c>
      <c r="AA175" s="221">
        <f t="shared" si="178"/>
        <v>0</v>
      </c>
      <c r="AB175" s="224">
        <f t="shared" si="178"/>
        <v>0</v>
      </c>
      <c r="AC175" s="224">
        <f t="shared" si="178"/>
        <v>0</v>
      </c>
      <c r="AD175" s="224">
        <f t="shared" si="178"/>
        <v>0</v>
      </c>
      <c r="AE175" s="225">
        <f t="shared" si="173"/>
        <v>0</v>
      </c>
      <c r="AF175" s="221">
        <f t="shared" si="176"/>
        <v>0</v>
      </c>
      <c r="AG175" s="224">
        <f t="shared" si="176"/>
        <v>0</v>
      </c>
      <c r="AH175" s="224">
        <f t="shared" si="176"/>
        <v>0</v>
      </c>
      <c r="AI175" s="223">
        <f t="shared" si="176"/>
        <v>0</v>
      </c>
      <c r="AJ175" s="225">
        <f t="shared" si="177"/>
        <v>0</v>
      </c>
      <c r="AK175" s="243">
        <f t="shared" si="175"/>
        <v>0</v>
      </c>
    </row>
    <row r="176" spans="2:37" ht="22.15" hidden="1" customHeight="1" outlineLevel="1" x14ac:dyDescent="0.25">
      <c r="B176" s="91" t="str">
        <f>IF(Assumptions!$A153="","",Assumptions!$A153)</f>
        <v>Test 19</v>
      </c>
      <c r="C176" s="221">
        <f>IFERROR(IF(INDEX(Assumptions!$D$135:$D$155,MATCH('Cash flow forecast'!$B176,Assumptions!$A$135:$A$155,0))="Monthly",(SUMIFS(Assumptions!$B$135:$B$155,Assumptions!$A$135:$A$155,'Cash flow forecast'!$B176,Assumptions!$E$135:$E$155,"&lt;="&amp;'Cash flow forecast'!C$5))*(INDEX(Assumptions!$C$135:$C$155,MATCH('Cash flow forecast'!$B176,Assumptions!$A$135:$A$155,0))),IF(OR('Cash flow forecast'!C$5=INDEX(Assumptions!$E$135:$E$155,MATCH('Cash flow forecast'!$B176,Assumptions!$A$135:$A$155,0)),'Cash flow forecast'!C$5=INDEX(Assumptions!$F$135:$F$155,MATCH('Cash flow forecast'!$B176,Assumptions!$A$135:$A$155,0))),SUMIFS(Assumptions!$B$135:$B$155,Assumptions!$A$135:$A$155,'Cash flow forecast'!$B176,Assumptions!$D$135:$D$155,"Annual"),0)),"")</f>
        <v>0</v>
      </c>
      <c r="D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forecast'!D$5))*(INDEX(Assumptions!$C$135:$C$155,MATCH('Cash flow forecast'!$B176,Assumptions!$A$135:$A$155,0))),IF(OR('Cash flow forecast'!D$5=INDEX(Assumptions!$E$135:$E$155,MATCH('Cash flow forecast'!$B176,Assumptions!$A$135:$A$155,0)),'Cash flow forecast'!D$5=INDEX(Assumptions!$F$135:$F$155,MATCH('Cash flow forecast'!$B176,Assumptions!$A$135:$A$155,0))),SUMIFS(Assumptions!$B$135:$B$155,Assumptions!$A$135:$A$155,'Cash flow forecast'!$B176,Assumptions!$D$135:$D$155,"Annual"),0)),"")</f>
        <v>0</v>
      </c>
      <c r="E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forecast'!E$5))*(INDEX(Assumptions!$C$135:$C$155,MATCH('Cash flow forecast'!$B176,Assumptions!$A$135:$A$155,0))),IF(OR('Cash flow forecast'!E$5=INDEX(Assumptions!$E$135:$E$155,MATCH('Cash flow forecast'!$B176,Assumptions!$A$135:$A$155,0)),'Cash flow forecast'!E$5=INDEX(Assumptions!$F$135:$F$155,MATCH('Cash flow forecast'!$B176,Assumptions!$A$135:$A$155,0))),SUMIFS(Assumptions!$B$135:$B$155,Assumptions!$A$135:$A$155,'Cash flow forecast'!$B176,Assumptions!$D$135:$D$155,"Annual"),0)),"")</f>
        <v>0</v>
      </c>
      <c r="F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forecast'!F$5))*(INDEX(Assumptions!$C$135:$C$155,MATCH('Cash flow forecast'!$B176,Assumptions!$A$135:$A$155,0))),IF(OR('Cash flow forecast'!F$5=INDEX(Assumptions!$E$135:$E$155,MATCH('Cash flow forecast'!$B176,Assumptions!$A$135:$A$155,0)),'Cash flow forecast'!F$5=INDEX(Assumptions!$F$135:$F$155,MATCH('Cash flow forecast'!$B176,Assumptions!$A$135:$A$155,0))),SUMIFS(Assumptions!$B$135:$B$155,Assumptions!$A$135:$A$155,'Cash flow forecast'!$B176,Assumptions!$D$135:$D$155,"Annual"),0)),"")</f>
        <v>0</v>
      </c>
      <c r="G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forecast'!G$5))*(INDEX(Assumptions!$C$135:$C$155,MATCH('Cash flow forecast'!$B176,Assumptions!$A$135:$A$155,0))),IF(OR('Cash flow forecast'!G$5=INDEX(Assumptions!$E$135:$E$155,MATCH('Cash flow forecast'!$B176,Assumptions!$A$135:$A$155,0)),'Cash flow forecast'!G$5=INDEX(Assumptions!$F$135:$F$155,MATCH('Cash flow forecast'!$B176,Assumptions!$A$135:$A$155,0))),SUMIFS(Assumptions!$B$135:$B$155,Assumptions!$A$135:$A$155,'Cash flow forecast'!$B176,Assumptions!$D$135:$D$155,"Annual"),0)),"")</f>
        <v>0</v>
      </c>
      <c r="H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forecast'!H$5))*(INDEX(Assumptions!$C$135:$C$155,MATCH('Cash flow forecast'!$B176,Assumptions!$A$135:$A$155,0))),IF(OR('Cash flow forecast'!H$5=INDEX(Assumptions!$E$135:$E$155,MATCH('Cash flow forecast'!$B176,Assumptions!$A$135:$A$155,0)),'Cash flow forecast'!H$5=INDEX(Assumptions!$F$135:$F$155,MATCH('Cash flow forecast'!$B176,Assumptions!$A$135:$A$155,0))),SUMIFS(Assumptions!$B$135:$B$155,Assumptions!$A$135:$A$155,'Cash flow forecast'!$B176,Assumptions!$D$135:$D$155,"Annual"),0)),"")</f>
        <v>0</v>
      </c>
      <c r="I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forecast'!I$5))*(INDEX(Assumptions!$C$135:$C$155,MATCH('Cash flow forecast'!$B176,Assumptions!$A$135:$A$155,0))),IF(OR('Cash flow forecast'!I$5=INDEX(Assumptions!$E$135:$E$155,MATCH('Cash flow forecast'!$B176,Assumptions!$A$135:$A$155,0)),'Cash flow forecast'!I$5=INDEX(Assumptions!$F$135:$F$155,MATCH('Cash flow forecast'!$B176,Assumptions!$A$135:$A$155,0))),SUMIFS(Assumptions!$B$135:$B$155,Assumptions!$A$135:$A$155,'Cash flow forecast'!$B176,Assumptions!$D$135:$D$155,"Annual"),0)),"")</f>
        <v>0</v>
      </c>
      <c r="J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forecast'!J$5))*(INDEX(Assumptions!$C$135:$C$155,MATCH('Cash flow forecast'!$B176,Assumptions!$A$135:$A$155,0))),IF(OR('Cash flow forecast'!J$5=INDEX(Assumptions!$E$135:$E$155,MATCH('Cash flow forecast'!$B176,Assumptions!$A$135:$A$155,0)),'Cash flow forecast'!J$5=INDEX(Assumptions!$F$135:$F$155,MATCH('Cash flow forecast'!$B176,Assumptions!$A$135:$A$155,0))),SUMIFS(Assumptions!$B$135:$B$155,Assumptions!$A$135:$A$155,'Cash flow forecast'!$B176,Assumptions!$D$135:$D$155,"Annual"),0)),"")</f>
        <v>0</v>
      </c>
      <c r="K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forecast'!K$5))*(INDEX(Assumptions!$C$135:$C$155,MATCH('Cash flow forecast'!$B176,Assumptions!$A$135:$A$155,0))),IF(OR('Cash flow forecast'!K$5=INDEX(Assumptions!$E$135:$E$155,MATCH('Cash flow forecast'!$B176,Assumptions!$A$135:$A$155,0)),'Cash flow forecast'!K$5=INDEX(Assumptions!$F$135:$F$155,MATCH('Cash flow forecast'!$B176,Assumptions!$A$135:$A$155,0))),SUMIFS(Assumptions!$B$135:$B$155,Assumptions!$A$135:$A$155,'Cash flow forecast'!$B176,Assumptions!$D$135:$D$155,"Annual"),0)),"")</f>
        <v>0</v>
      </c>
      <c r="L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forecast'!L$5))*(INDEX(Assumptions!$C$135:$C$155,MATCH('Cash flow forecast'!$B176,Assumptions!$A$135:$A$155,0))),IF(OR('Cash flow forecast'!L$5=INDEX(Assumptions!$E$135:$E$155,MATCH('Cash flow forecast'!$B176,Assumptions!$A$135:$A$155,0)),'Cash flow forecast'!L$5=INDEX(Assumptions!$F$135:$F$155,MATCH('Cash flow forecast'!$B176,Assumptions!$A$135:$A$155,0))),SUMIFS(Assumptions!$B$135:$B$155,Assumptions!$A$135:$A$155,'Cash flow forecast'!$B176,Assumptions!$D$135:$D$155,"Annual"),0)),"")</f>
        <v>0</v>
      </c>
      <c r="M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forecast'!M$5))*(INDEX(Assumptions!$C$135:$C$155,MATCH('Cash flow forecast'!$B176,Assumptions!$A$135:$A$155,0))),IF(OR('Cash flow forecast'!M$5=INDEX(Assumptions!$E$135:$E$155,MATCH('Cash flow forecast'!$B176,Assumptions!$A$135:$A$155,0)),'Cash flow forecast'!M$5=INDEX(Assumptions!$F$135:$F$155,MATCH('Cash flow forecast'!$B176,Assumptions!$A$135:$A$155,0))),SUMIFS(Assumptions!$B$135:$B$155,Assumptions!$A$135:$A$155,'Cash flow forecast'!$B176,Assumptions!$D$135:$D$155,"Annual"),0)),"")</f>
        <v>0</v>
      </c>
      <c r="N176" s="223">
        <f>IFERROR(IF(INDEX(Assumptions!$D$135:$D$155,MATCH('Cash flow forecast'!$B176,Assumptions!$A$135:$A$155,0))="Monthly",(SUMIFS(Assumptions!$B$135:$B$155,Assumptions!$A$135:$A$155,'Cash flow forecast'!$B176,Assumptions!$E$135:$E$155,"&lt;="&amp;'Cash flow forecast'!N$5))*(INDEX(Assumptions!$C$135:$C$155,MATCH('Cash flow forecast'!$B176,Assumptions!$A$135:$A$155,0))),IF(OR('Cash flow forecast'!N$5=INDEX(Assumptions!$E$135:$E$155,MATCH('Cash flow forecast'!$B176,Assumptions!$A$135:$A$155,0)),'Cash flow forecast'!N$5=INDEX(Assumptions!$F$135:$F$155,MATCH('Cash flow forecast'!$B176,Assumptions!$A$135:$A$155,0))),SUMIFS(Assumptions!$B$135:$B$155,Assumptions!$A$135:$A$155,'Cash flow forecast'!$B176,Assumptions!$D$135:$D$155,"Annual"),0)),"")</f>
        <v>0</v>
      </c>
      <c r="O176" s="221">
        <f>IFERROR(IF(INDEX(Assumptions!$D$135:$D$155,MATCH('Cash flow forecast'!$B176,Assumptions!$A$135:$A$155,0))="Monthly",(SUMIFS(Assumptions!$B$135:$B$155,Assumptions!$A$135:$A$155,'Cash flow forecast'!$B176,Assumptions!$E$135:$E$155,"&lt;="&amp;'Cash flow forecast'!O$5))*(INDEX(Assumptions!$C$135:$C$155,MATCH('Cash flow forecast'!$B176,Assumptions!$A$135:$A$155,0))),IF(OR('Cash flow forecast'!O$5=INDEX(Assumptions!$E$135:$E$155,MATCH('Cash flow forecast'!$B176,Assumptions!$A$135:$A$155,0)),'Cash flow forecast'!O$5=INDEX(Assumptions!$F$135:$F$155,MATCH('Cash flow forecast'!$B176,Assumptions!$A$135:$A$155,0))),SUMIFS(Assumptions!$B$135:$B$155,Assumptions!$A$135:$A$155,'Cash flow forecast'!$B176,Assumptions!$D$135:$D$155,"Annual"),0)),"")</f>
        <v>0</v>
      </c>
      <c r="P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forecast'!P$5))*(INDEX(Assumptions!$C$135:$C$155,MATCH('Cash flow forecast'!$B176,Assumptions!$A$135:$A$155,0))),IF(OR('Cash flow forecast'!P$5=INDEX(Assumptions!$E$135:$E$155,MATCH('Cash flow forecast'!$B176,Assumptions!$A$135:$A$155,0)),'Cash flow forecast'!P$5=INDEX(Assumptions!$F$135:$F$155,MATCH('Cash flow forecast'!$B176,Assumptions!$A$135:$A$155,0))),SUMIFS(Assumptions!$B$135:$B$155,Assumptions!$A$135:$A$155,'Cash flow forecast'!$B176,Assumptions!$D$135:$D$155,"Annual"),0)),"")</f>
        <v>0</v>
      </c>
      <c r="Q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forecast'!Q$5))*(INDEX(Assumptions!$C$135:$C$155,MATCH('Cash flow forecast'!$B176,Assumptions!$A$135:$A$155,0))),IF(OR('Cash flow forecast'!Q$5=INDEX(Assumptions!$E$135:$E$155,MATCH('Cash flow forecast'!$B176,Assumptions!$A$135:$A$155,0)),'Cash flow forecast'!Q$5=INDEX(Assumptions!$F$135:$F$155,MATCH('Cash flow forecast'!$B176,Assumptions!$A$135:$A$155,0))),SUMIFS(Assumptions!$B$135:$B$155,Assumptions!$A$135:$A$155,'Cash flow forecast'!$B176,Assumptions!$D$135:$D$155,"Annual"),0)),"")</f>
        <v>0</v>
      </c>
      <c r="R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forecast'!R$5))*(INDEX(Assumptions!$C$135:$C$155,MATCH('Cash flow forecast'!$B176,Assumptions!$A$135:$A$155,0))),IF(OR('Cash flow forecast'!R$5=INDEX(Assumptions!$E$135:$E$155,MATCH('Cash flow forecast'!$B176,Assumptions!$A$135:$A$155,0)),'Cash flow forecast'!R$5=INDEX(Assumptions!$F$135:$F$155,MATCH('Cash flow forecast'!$B176,Assumptions!$A$135:$A$155,0))),SUMIFS(Assumptions!$B$135:$B$155,Assumptions!$A$135:$A$155,'Cash flow forecast'!$B176,Assumptions!$D$135:$D$155,"Annual"),0)),"")</f>
        <v>0</v>
      </c>
      <c r="S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forecast'!S$5))*(INDEX(Assumptions!$C$135:$C$155,MATCH('Cash flow forecast'!$B176,Assumptions!$A$135:$A$155,0))),IF(OR('Cash flow forecast'!S$5=INDEX(Assumptions!$E$135:$E$155,MATCH('Cash flow forecast'!$B176,Assumptions!$A$135:$A$155,0)),'Cash flow forecast'!S$5=INDEX(Assumptions!$F$135:$F$155,MATCH('Cash flow forecast'!$B176,Assumptions!$A$135:$A$155,0))),SUMIFS(Assumptions!$B$135:$B$155,Assumptions!$A$135:$A$155,'Cash flow forecast'!$B176,Assumptions!$D$135:$D$155,"Annual"),0)),"")</f>
        <v>0</v>
      </c>
      <c r="T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forecast'!T$5))*(INDEX(Assumptions!$C$135:$C$155,MATCH('Cash flow forecast'!$B176,Assumptions!$A$135:$A$155,0))),IF(OR('Cash flow forecast'!T$5=INDEX(Assumptions!$E$135:$E$155,MATCH('Cash flow forecast'!$B176,Assumptions!$A$135:$A$155,0)),'Cash flow forecast'!T$5=INDEX(Assumptions!$F$135:$F$155,MATCH('Cash flow forecast'!$B176,Assumptions!$A$135:$A$155,0))),SUMIFS(Assumptions!$B$135:$B$155,Assumptions!$A$135:$A$155,'Cash flow forecast'!$B176,Assumptions!$D$135:$D$155,"Annual"),0)),"")</f>
        <v>0</v>
      </c>
      <c r="U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forecast'!U$5))*(INDEX(Assumptions!$C$135:$C$155,MATCH('Cash flow forecast'!$B176,Assumptions!$A$135:$A$155,0))),IF(OR('Cash flow forecast'!U$5=INDEX(Assumptions!$E$135:$E$155,MATCH('Cash flow forecast'!$B176,Assumptions!$A$135:$A$155,0)),'Cash flow forecast'!U$5=INDEX(Assumptions!$F$135:$F$155,MATCH('Cash flow forecast'!$B176,Assumptions!$A$135:$A$155,0))),SUMIFS(Assumptions!$B$135:$B$155,Assumptions!$A$135:$A$155,'Cash flow forecast'!$B176,Assumptions!$D$135:$D$155,"Annual"),0)),"")</f>
        <v>0</v>
      </c>
      <c r="V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forecast'!V$5))*(INDEX(Assumptions!$C$135:$C$155,MATCH('Cash flow forecast'!$B176,Assumptions!$A$135:$A$155,0))),IF(OR('Cash flow forecast'!V$5=INDEX(Assumptions!$E$135:$E$155,MATCH('Cash flow forecast'!$B176,Assumptions!$A$135:$A$155,0)),'Cash flow forecast'!V$5=INDEX(Assumptions!$F$135:$F$155,MATCH('Cash flow forecast'!$B176,Assumptions!$A$135:$A$155,0))),SUMIFS(Assumptions!$B$135:$B$155,Assumptions!$A$135:$A$155,'Cash flow forecast'!$B176,Assumptions!$D$135:$D$155,"Annual"),0)),"")</f>
        <v>0</v>
      </c>
      <c r="W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forecast'!W$5))*(INDEX(Assumptions!$C$135:$C$155,MATCH('Cash flow forecast'!$B176,Assumptions!$A$135:$A$155,0))),IF(OR('Cash flow forecast'!W$5=INDEX(Assumptions!$E$135:$E$155,MATCH('Cash flow forecast'!$B176,Assumptions!$A$135:$A$155,0)),'Cash flow forecast'!W$5=INDEX(Assumptions!$F$135:$F$155,MATCH('Cash flow forecast'!$B176,Assumptions!$A$135:$A$155,0))),SUMIFS(Assumptions!$B$135:$B$155,Assumptions!$A$135:$A$155,'Cash flow forecast'!$B176,Assumptions!$D$135:$D$155,"Annual"),0)),"")</f>
        <v>0</v>
      </c>
      <c r="X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forecast'!X$5))*(INDEX(Assumptions!$C$135:$C$155,MATCH('Cash flow forecast'!$B176,Assumptions!$A$135:$A$155,0))),IF(OR('Cash flow forecast'!X$5=INDEX(Assumptions!$E$135:$E$155,MATCH('Cash flow forecast'!$B176,Assumptions!$A$135:$A$155,0)),'Cash flow forecast'!X$5=INDEX(Assumptions!$F$135:$F$155,MATCH('Cash flow forecast'!$B176,Assumptions!$A$135:$A$155,0))),SUMIFS(Assumptions!$B$135:$B$155,Assumptions!$A$135:$A$155,'Cash flow forecast'!$B176,Assumptions!$D$135:$D$155,"Annual"),0)),"")</f>
        <v>0</v>
      </c>
      <c r="Y176" s="222">
        <f>IFERROR(IF(INDEX(Assumptions!$D$135:$D$155,MATCH('Cash flow forecast'!$B176,Assumptions!$A$135:$A$155,0))="Monthly",(SUMIFS(Assumptions!$B$135:$B$155,Assumptions!$A$135:$A$155,'Cash flow forecast'!$B176,Assumptions!$E$135:$E$155,"&lt;="&amp;'Cash flow forecast'!Y$5))*(INDEX(Assumptions!$C$135:$C$155,MATCH('Cash flow forecast'!$B176,Assumptions!$A$135:$A$155,0))),IF(OR('Cash flow forecast'!Y$5=INDEX(Assumptions!$E$135:$E$155,MATCH('Cash flow forecast'!$B176,Assumptions!$A$135:$A$155,0)),'Cash flow forecast'!Y$5=INDEX(Assumptions!$F$135:$F$155,MATCH('Cash flow forecast'!$B176,Assumptions!$A$135:$A$155,0))),SUMIFS(Assumptions!$B$135:$B$155,Assumptions!$A$135:$A$155,'Cash flow forecast'!$B176,Assumptions!$D$135:$D$155,"Annual"),0)),"")</f>
        <v>0</v>
      </c>
      <c r="Z176" s="223">
        <f>IFERROR(IF(INDEX(Assumptions!$D$135:$D$155,MATCH('Cash flow forecast'!$B176,Assumptions!$A$135:$A$155,0))="Monthly",(SUMIFS(Assumptions!$B$135:$B$155,Assumptions!$A$135:$A$155,'Cash flow forecast'!$B176,Assumptions!$E$135:$E$155,"&lt;="&amp;'Cash flow forecast'!Z$5))*(INDEX(Assumptions!$C$135:$C$155,MATCH('Cash flow forecast'!$B176,Assumptions!$A$135:$A$155,0))),IF(OR('Cash flow forecast'!Z$5=INDEX(Assumptions!$E$135:$E$155,MATCH('Cash flow forecast'!$B176,Assumptions!$A$135:$A$155,0)),'Cash flow forecast'!Z$5=INDEX(Assumptions!$F$135:$F$155,MATCH('Cash flow forecast'!$B176,Assumptions!$A$135:$A$155,0))),SUMIFS(Assumptions!$B$135:$B$155,Assumptions!$A$135:$A$155,'Cash flow forecast'!$B176,Assumptions!$D$135:$D$155,"Annual"),0)),"")</f>
        <v>0</v>
      </c>
      <c r="AA176" s="221">
        <f t="shared" si="178"/>
        <v>0</v>
      </c>
      <c r="AB176" s="224">
        <f t="shared" si="178"/>
        <v>0</v>
      </c>
      <c r="AC176" s="224">
        <f t="shared" si="178"/>
        <v>0</v>
      </c>
      <c r="AD176" s="224">
        <f t="shared" si="178"/>
        <v>0</v>
      </c>
      <c r="AE176" s="225">
        <f t="shared" si="173"/>
        <v>0</v>
      </c>
      <c r="AF176" s="221">
        <f t="shared" si="176"/>
        <v>0</v>
      </c>
      <c r="AG176" s="224">
        <f t="shared" si="176"/>
        <v>0</v>
      </c>
      <c r="AH176" s="224">
        <f t="shared" si="176"/>
        <v>0</v>
      </c>
      <c r="AI176" s="223">
        <f t="shared" si="176"/>
        <v>0</v>
      </c>
      <c r="AJ176" s="225">
        <f t="shared" si="177"/>
        <v>0</v>
      </c>
      <c r="AK176" s="243">
        <f t="shared" si="175"/>
        <v>0</v>
      </c>
    </row>
    <row r="177" spans="2:37" ht="22.15" hidden="1" customHeight="1" outlineLevel="1" x14ac:dyDescent="0.25">
      <c r="B177" s="91" t="str">
        <f>IF(Assumptions!$A154="","",Assumptions!$A154)</f>
        <v>Test 20</v>
      </c>
      <c r="C177" s="221">
        <f>IFERROR(IF(INDEX(Assumptions!$D$135:$D$155,MATCH('Cash flow forecast'!$B177,Assumptions!$A$135:$A$155,0))="Monthly",(SUMIFS(Assumptions!$B$135:$B$155,Assumptions!$A$135:$A$155,'Cash flow forecast'!$B177,Assumptions!$E$135:$E$155,"&lt;="&amp;'Cash flow forecast'!C$5))*(INDEX(Assumptions!$C$135:$C$155,MATCH('Cash flow forecast'!$B177,Assumptions!$A$135:$A$155,0))),IF(OR('Cash flow forecast'!C$5=INDEX(Assumptions!$E$135:$E$155,MATCH('Cash flow forecast'!$B177,Assumptions!$A$135:$A$155,0)),'Cash flow forecast'!C$5=INDEX(Assumptions!$F$135:$F$155,MATCH('Cash flow forecast'!$B177,Assumptions!$A$135:$A$155,0))),SUMIFS(Assumptions!$B$135:$B$155,Assumptions!$A$135:$A$155,'Cash flow forecast'!$B177,Assumptions!$D$135:$D$155,"Annual"),0)),"")</f>
        <v>0</v>
      </c>
      <c r="D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forecast'!D$5))*(INDEX(Assumptions!$C$135:$C$155,MATCH('Cash flow forecast'!$B177,Assumptions!$A$135:$A$155,0))),IF(OR('Cash flow forecast'!D$5=INDEX(Assumptions!$E$135:$E$155,MATCH('Cash flow forecast'!$B177,Assumptions!$A$135:$A$155,0)),'Cash flow forecast'!D$5=INDEX(Assumptions!$F$135:$F$155,MATCH('Cash flow forecast'!$B177,Assumptions!$A$135:$A$155,0))),SUMIFS(Assumptions!$B$135:$B$155,Assumptions!$A$135:$A$155,'Cash flow forecast'!$B177,Assumptions!$D$135:$D$155,"Annual"),0)),"")</f>
        <v>0</v>
      </c>
      <c r="E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forecast'!E$5))*(INDEX(Assumptions!$C$135:$C$155,MATCH('Cash flow forecast'!$B177,Assumptions!$A$135:$A$155,0))),IF(OR('Cash flow forecast'!E$5=INDEX(Assumptions!$E$135:$E$155,MATCH('Cash flow forecast'!$B177,Assumptions!$A$135:$A$155,0)),'Cash flow forecast'!E$5=INDEX(Assumptions!$F$135:$F$155,MATCH('Cash flow forecast'!$B177,Assumptions!$A$135:$A$155,0))),SUMIFS(Assumptions!$B$135:$B$155,Assumptions!$A$135:$A$155,'Cash flow forecast'!$B177,Assumptions!$D$135:$D$155,"Annual"),0)),"")</f>
        <v>0</v>
      </c>
      <c r="F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forecast'!F$5))*(INDEX(Assumptions!$C$135:$C$155,MATCH('Cash flow forecast'!$B177,Assumptions!$A$135:$A$155,0))),IF(OR('Cash flow forecast'!F$5=INDEX(Assumptions!$E$135:$E$155,MATCH('Cash flow forecast'!$B177,Assumptions!$A$135:$A$155,0)),'Cash flow forecast'!F$5=INDEX(Assumptions!$F$135:$F$155,MATCH('Cash flow forecast'!$B177,Assumptions!$A$135:$A$155,0))),SUMIFS(Assumptions!$B$135:$B$155,Assumptions!$A$135:$A$155,'Cash flow forecast'!$B177,Assumptions!$D$135:$D$155,"Annual"),0)),"")</f>
        <v>0</v>
      </c>
      <c r="G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forecast'!G$5))*(INDEX(Assumptions!$C$135:$C$155,MATCH('Cash flow forecast'!$B177,Assumptions!$A$135:$A$155,0))),IF(OR('Cash flow forecast'!G$5=INDEX(Assumptions!$E$135:$E$155,MATCH('Cash flow forecast'!$B177,Assumptions!$A$135:$A$155,0)),'Cash flow forecast'!G$5=INDEX(Assumptions!$F$135:$F$155,MATCH('Cash flow forecast'!$B177,Assumptions!$A$135:$A$155,0))),SUMIFS(Assumptions!$B$135:$B$155,Assumptions!$A$135:$A$155,'Cash flow forecast'!$B177,Assumptions!$D$135:$D$155,"Annual"),0)),"")</f>
        <v>0</v>
      </c>
      <c r="H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forecast'!H$5))*(INDEX(Assumptions!$C$135:$C$155,MATCH('Cash flow forecast'!$B177,Assumptions!$A$135:$A$155,0))),IF(OR('Cash flow forecast'!H$5=INDEX(Assumptions!$E$135:$E$155,MATCH('Cash flow forecast'!$B177,Assumptions!$A$135:$A$155,0)),'Cash flow forecast'!H$5=INDEX(Assumptions!$F$135:$F$155,MATCH('Cash flow forecast'!$B177,Assumptions!$A$135:$A$155,0))),SUMIFS(Assumptions!$B$135:$B$155,Assumptions!$A$135:$A$155,'Cash flow forecast'!$B177,Assumptions!$D$135:$D$155,"Annual"),0)),"")</f>
        <v>0</v>
      </c>
      <c r="I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forecast'!I$5))*(INDEX(Assumptions!$C$135:$C$155,MATCH('Cash flow forecast'!$B177,Assumptions!$A$135:$A$155,0))),IF(OR('Cash flow forecast'!I$5=INDEX(Assumptions!$E$135:$E$155,MATCH('Cash flow forecast'!$B177,Assumptions!$A$135:$A$155,0)),'Cash flow forecast'!I$5=INDEX(Assumptions!$F$135:$F$155,MATCH('Cash flow forecast'!$B177,Assumptions!$A$135:$A$155,0))),SUMIFS(Assumptions!$B$135:$B$155,Assumptions!$A$135:$A$155,'Cash flow forecast'!$B177,Assumptions!$D$135:$D$155,"Annual"),0)),"")</f>
        <v>0</v>
      </c>
      <c r="J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forecast'!J$5))*(INDEX(Assumptions!$C$135:$C$155,MATCH('Cash flow forecast'!$B177,Assumptions!$A$135:$A$155,0))),IF(OR('Cash flow forecast'!J$5=INDEX(Assumptions!$E$135:$E$155,MATCH('Cash flow forecast'!$B177,Assumptions!$A$135:$A$155,0)),'Cash flow forecast'!J$5=INDEX(Assumptions!$F$135:$F$155,MATCH('Cash flow forecast'!$B177,Assumptions!$A$135:$A$155,0))),SUMIFS(Assumptions!$B$135:$B$155,Assumptions!$A$135:$A$155,'Cash flow forecast'!$B177,Assumptions!$D$135:$D$155,"Annual"),0)),"")</f>
        <v>0</v>
      </c>
      <c r="K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forecast'!K$5))*(INDEX(Assumptions!$C$135:$C$155,MATCH('Cash flow forecast'!$B177,Assumptions!$A$135:$A$155,0))),IF(OR('Cash flow forecast'!K$5=INDEX(Assumptions!$E$135:$E$155,MATCH('Cash flow forecast'!$B177,Assumptions!$A$135:$A$155,0)),'Cash flow forecast'!K$5=INDEX(Assumptions!$F$135:$F$155,MATCH('Cash flow forecast'!$B177,Assumptions!$A$135:$A$155,0))),SUMIFS(Assumptions!$B$135:$B$155,Assumptions!$A$135:$A$155,'Cash flow forecast'!$B177,Assumptions!$D$135:$D$155,"Annual"),0)),"")</f>
        <v>0</v>
      </c>
      <c r="L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forecast'!L$5))*(INDEX(Assumptions!$C$135:$C$155,MATCH('Cash flow forecast'!$B177,Assumptions!$A$135:$A$155,0))),IF(OR('Cash flow forecast'!L$5=INDEX(Assumptions!$E$135:$E$155,MATCH('Cash flow forecast'!$B177,Assumptions!$A$135:$A$155,0)),'Cash flow forecast'!L$5=INDEX(Assumptions!$F$135:$F$155,MATCH('Cash flow forecast'!$B177,Assumptions!$A$135:$A$155,0))),SUMIFS(Assumptions!$B$135:$B$155,Assumptions!$A$135:$A$155,'Cash flow forecast'!$B177,Assumptions!$D$135:$D$155,"Annual"),0)),"")</f>
        <v>0</v>
      </c>
      <c r="M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forecast'!M$5))*(INDEX(Assumptions!$C$135:$C$155,MATCH('Cash flow forecast'!$B177,Assumptions!$A$135:$A$155,0))),IF(OR('Cash flow forecast'!M$5=INDEX(Assumptions!$E$135:$E$155,MATCH('Cash flow forecast'!$B177,Assumptions!$A$135:$A$155,0)),'Cash flow forecast'!M$5=INDEX(Assumptions!$F$135:$F$155,MATCH('Cash flow forecast'!$B177,Assumptions!$A$135:$A$155,0))),SUMIFS(Assumptions!$B$135:$B$155,Assumptions!$A$135:$A$155,'Cash flow forecast'!$B177,Assumptions!$D$135:$D$155,"Annual"),0)),"")</f>
        <v>0</v>
      </c>
      <c r="N177" s="223">
        <f>IFERROR(IF(INDEX(Assumptions!$D$135:$D$155,MATCH('Cash flow forecast'!$B177,Assumptions!$A$135:$A$155,0))="Monthly",(SUMIFS(Assumptions!$B$135:$B$155,Assumptions!$A$135:$A$155,'Cash flow forecast'!$B177,Assumptions!$E$135:$E$155,"&lt;="&amp;'Cash flow forecast'!N$5))*(INDEX(Assumptions!$C$135:$C$155,MATCH('Cash flow forecast'!$B177,Assumptions!$A$135:$A$155,0))),IF(OR('Cash flow forecast'!N$5=INDEX(Assumptions!$E$135:$E$155,MATCH('Cash flow forecast'!$B177,Assumptions!$A$135:$A$155,0)),'Cash flow forecast'!N$5=INDEX(Assumptions!$F$135:$F$155,MATCH('Cash flow forecast'!$B177,Assumptions!$A$135:$A$155,0))),SUMIFS(Assumptions!$B$135:$B$155,Assumptions!$A$135:$A$155,'Cash flow forecast'!$B177,Assumptions!$D$135:$D$155,"Annual"),0)),"")</f>
        <v>0</v>
      </c>
      <c r="O177" s="221">
        <f>IFERROR(IF(INDEX(Assumptions!$D$135:$D$155,MATCH('Cash flow forecast'!$B177,Assumptions!$A$135:$A$155,0))="Monthly",(SUMIFS(Assumptions!$B$135:$B$155,Assumptions!$A$135:$A$155,'Cash flow forecast'!$B177,Assumptions!$E$135:$E$155,"&lt;="&amp;'Cash flow forecast'!O$5))*(INDEX(Assumptions!$C$135:$C$155,MATCH('Cash flow forecast'!$B177,Assumptions!$A$135:$A$155,0))),IF(OR('Cash flow forecast'!O$5=INDEX(Assumptions!$E$135:$E$155,MATCH('Cash flow forecast'!$B177,Assumptions!$A$135:$A$155,0)),'Cash flow forecast'!O$5=INDEX(Assumptions!$F$135:$F$155,MATCH('Cash flow forecast'!$B177,Assumptions!$A$135:$A$155,0))),SUMIFS(Assumptions!$B$135:$B$155,Assumptions!$A$135:$A$155,'Cash flow forecast'!$B177,Assumptions!$D$135:$D$155,"Annual"),0)),"")</f>
        <v>0</v>
      </c>
      <c r="P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forecast'!P$5))*(INDEX(Assumptions!$C$135:$C$155,MATCH('Cash flow forecast'!$B177,Assumptions!$A$135:$A$155,0))),IF(OR('Cash flow forecast'!P$5=INDEX(Assumptions!$E$135:$E$155,MATCH('Cash flow forecast'!$B177,Assumptions!$A$135:$A$155,0)),'Cash flow forecast'!P$5=INDEX(Assumptions!$F$135:$F$155,MATCH('Cash flow forecast'!$B177,Assumptions!$A$135:$A$155,0))),SUMIFS(Assumptions!$B$135:$B$155,Assumptions!$A$135:$A$155,'Cash flow forecast'!$B177,Assumptions!$D$135:$D$155,"Annual"),0)),"")</f>
        <v>0</v>
      </c>
      <c r="Q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forecast'!Q$5))*(INDEX(Assumptions!$C$135:$C$155,MATCH('Cash flow forecast'!$B177,Assumptions!$A$135:$A$155,0))),IF(OR('Cash flow forecast'!Q$5=INDEX(Assumptions!$E$135:$E$155,MATCH('Cash flow forecast'!$B177,Assumptions!$A$135:$A$155,0)),'Cash flow forecast'!Q$5=INDEX(Assumptions!$F$135:$F$155,MATCH('Cash flow forecast'!$B177,Assumptions!$A$135:$A$155,0))),SUMIFS(Assumptions!$B$135:$B$155,Assumptions!$A$135:$A$155,'Cash flow forecast'!$B177,Assumptions!$D$135:$D$155,"Annual"),0)),"")</f>
        <v>0</v>
      </c>
      <c r="R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forecast'!R$5))*(INDEX(Assumptions!$C$135:$C$155,MATCH('Cash flow forecast'!$B177,Assumptions!$A$135:$A$155,0))),IF(OR('Cash flow forecast'!R$5=INDEX(Assumptions!$E$135:$E$155,MATCH('Cash flow forecast'!$B177,Assumptions!$A$135:$A$155,0)),'Cash flow forecast'!R$5=INDEX(Assumptions!$F$135:$F$155,MATCH('Cash flow forecast'!$B177,Assumptions!$A$135:$A$155,0))),SUMIFS(Assumptions!$B$135:$B$155,Assumptions!$A$135:$A$155,'Cash flow forecast'!$B177,Assumptions!$D$135:$D$155,"Annual"),0)),"")</f>
        <v>0</v>
      </c>
      <c r="S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forecast'!S$5))*(INDEX(Assumptions!$C$135:$C$155,MATCH('Cash flow forecast'!$B177,Assumptions!$A$135:$A$155,0))),IF(OR('Cash flow forecast'!S$5=INDEX(Assumptions!$E$135:$E$155,MATCH('Cash flow forecast'!$B177,Assumptions!$A$135:$A$155,0)),'Cash flow forecast'!S$5=INDEX(Assumptions!$F$135:$F$155,MATCH('Cash flow forecast'!$B177,Assumptions!$A$135:$A$155,0))),SUMIFS(Assumptions!$B$135:$B$155,Assumptions!$A$135:$A$155,'Cash flow forecast'!$B177,Assumptions!$D$135:$D$155,"Annual"),0)),"")</f>
        <v>0</v>
      </c>
      <c r="T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forecast'!T$5))*(INDEX(Assumptions!$C$135:$C$155,MATCH('Cash flow forecast'!$B177,Assumptions!$A$135:$A$155,0))),IF(OR('Cash flow forecast'!T$5=INDEX(Assumptions!$E$135:$E$155,MATCH('Cash flow forecast'!$B177,Assumptions!$A$135:$A$155,0)),'Cash flow forecast'!T$5=INDEX(Assumptions!$F$135:$F$155,MATCH('Cash flow forecast'!$B177,Assumptions!$A$135:$A$155,0))),SUMIFS(Assumptions!$B$135:$B$155,Assumptions!$A$135:$A$155,'Cash flow forecast'!$B177,Assumptions!$D$135:$D$155,"Annual"),0)),"")</f>
        <v>0</v>
      </c>
      <c r="U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forecast'!U$5))*(INDEX(Assumptions!$C$135:$C$155,MATCH('Cash flow forecast'!$B177,Assumptions!$A$135:$A$155,0))),IF(OR('Cash flow forecast'!U$5=INDEX(Assumptions!$E$135:$E$155,MATCH('Cash flow forecast'!$B177,Assumptions!$A$135:$A$155,0)),'Cash flow forecast'!U$5=INDEX(Assumptions!$F$135:$F$155,MATCH('Cash flow forecast'!$B177,Assumptions!$A$135:$A$155,0))),SUMIFS(Assumptions!$B$135:$B$155,Assumptions!$A$135:$A$155,'Cash flow forecast'!$B177,Assumptions!$D$135:$D$155,"Annual"),0)),"")</f>
        <v>0</v>
      </c>
      <c r="V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forecast'!V$5))*(INDEX(Assumptions!$C$135:$C$155,MATCH('Cash flow forecast'!$B177,Assumptions!$A$135:$A$155,0))),IF(OR('Cash flow forecast'!V$5=INDEX(Assumptions!$E$135:$E$155,MATCH('Cash flow forecast'!$B177,Assumptions!$A$135:$A$155,0)),'Cash flow forecast'!V$5=INDEX(Assumptions!$F$135:$F$155,MATCH('Cash flow forecast'!$B177,Assumptions!$A$135:$A$155,0))),SUMIFS(Assumptions!$B$135:$B$155,Assumptions!$A$135:$A$155,'Cash flow forecast'!$B177,Assumptions!$D$135:$D$155,"Annual"),0)),"")</f>
        <v>0</v>
      </c>
      <c r="W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forecast'!W$5))*(INDEX(Assumptions!$C$135:$C$155,MATCH('Cash flow forecast'!$B177,Assumptions!$A$135:$A$155,0))),IF(OR('Cash flow forecast'!W$5=INDEX(Assumptions!$E$135:$E$155,MATCH('Cash flow forecast'!$B177,Assumptions!$A$135:$A$155,0)),'Cash flow forecast'!W$5=INDEX(Assumptions!$F$135:$F$155,MATCH('Cash flow forecast'!$B177,Assumptions!$A$135:$A$155,0))),SUMIFS(Assumptions!$B$135:$B$155,Assumptions!$A$135:$A$155,'Cash flow forecast'!$B177,Assumptions!$D$135:$D$155,"Annual"),0)),"")</f>
        <v>0</v>
      </c>
      <c r="X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forecast'!X$5))*(INDEX(Assumptions!$C$135:$C$155,MATCH('Cash flow forecast'!$B177,Assumptions!$A$135:$A$155,0))),IF(OR('Cash flow forecast'!X$5=INDEX(Assumptions!$E$135:$E$155,MATCH('Cash flow forecast'!$B177,Assumptions!$A$135:$A$155,0)),'Cash flow forecast'!X$5=INDEX(Assumptions!$F$135:$F$155,MATCH('Cash flow forecast'!$B177,Assumptions!$A$135:$A$155,0))),SUMIFS(Assumptions!$B$135:$B$155,Assumptions!$A$135:$A$155,'Cash flow forecast'!$B177,Assumptions!$D$135:$D$155,"Annual"),0)),"")</f>
        <v>0</v>
      </c>
      <c r="Y177" s="222">
        <f>IFERROR(IF(INDEX(Assumptions!$D$135:$D$155,MATCH('Cash flow forecast'!$B177,Assumptions!$A$135:$A$155,0))="Monthly",(SUMIFS(Assumptions!$B$135:$B$155,Assumptions!$A$135:$A$155,'Cash flow forecast'!$B177,Assumptions!$E$135:$E$155,"&lt;="&amp;'Cash flow forecast'!Y$5))*(INDEX(Assumptions!$C$135:$C$155,MATCH('Cash flow forecast'!$B177,Assumptions!$A$135:$A$155,0))),IF(OR('Cash flow forecast'!Y$5=INDEX(Assumptions!$E$135:$E$155,MATCH('Cash flow forecast'!$B177,Assumptions!$A$135:$A$155,0)),'Cash flow forecast'!Y$5=INDEX(Assumptions!$F$135:$F$155,MATCH('Cash flow forecast'!$B177,Assumptions!$A$135:$A$155,0))),SUMIFS(Assumptions!$B$135:$B$155,Assumptions!$A$135:$A$155,'Cash flow forecast'!$B177,Assumptions!$D$135:$D$155,"Annual"),0)),"")</f>
        <v>0</v>
      </c>
      <c r="Z177" s="223">
        <f>IFERROR(IF(INDEX(Assumptions!$D$135:$D$155,MATCH('Cash flow forecast'!$B177,Assumptions!$A$135:$A$155,0))="Monthly",(SUMIFS(Assumptions!$B$135:$B$155,Assumptions!$A$135:$A$155,'Cash flow forecast'!$B177,Assumptions!$E$135:$E$155,"&lt;="&amp;'Cash flow forecast'!Z$5))*(INDEX(Assumptions!$C$135:$C$155,MATCH('Cash flow forecast'!$B177,Assumptions!$A$135:$A$155,0))),IF(OR('Cash flow forecast'!Z$5=INDEX(Assumptions!$E$135:$E$155,MATCH('Cash flow forecast'!$B177,Assumptions!$A$135:$A$155,0)),'Cash flow forecast'!Z$5=INDEX(Assumptions!$F$135:$F$155,MATCH('Cash flow forecast'!$B177,Assumptions!$A$135:$A$155,0))),SUMIFS(Assumptions!$B$135:$B$155,Assumptions!$A$135:$A$155,'Cash flow forecast'!$B177,Assumptions!$D$135:$D$155,"Annual"),0)),"")</f>
        <v>0</v>
      </c>
      <c r="AA177" s="221">
        <f t="shared" si="178"/>
        <v>0</v>
      </c>
      <c r="AB177" s="224">
        <f t="shared" si="178"/>
        <v>0</v>
      </c>
      <c r="AC177" s="224">
        <f t="shared" si="178"/>
        <v>0</v>
      </c>
      <c r="AD177" s="224">
        <f t="shared" si="178"/>
        <v>0</v>
      </c>
      <c r="AE177" s="225">
        <f t="shared" si="173"/>
        <v>0</v>
      </c>
      <c r="AF177" s="221">
        <f t="shared" si="176"/>
        <v>0</v>
      </c>
      <c r="AG177" s="224">
        <f t="shared" si="176"/>
        <v>0</v>
      </c>
      <c r="AH177" s="224">
        <f t="shared" si="176"/>
        <v>0</v>
      </c>
      <c r="AI177" s="223">
        <f t="shared" si="176"/>
        <v>0</v>
      </c>
      <c r="AJ177" s="225">
        <f t="shared" si="177"/>
        <v>0</v>
      </c>
      <c r="AK177" s="243">
        <f t="shared" si="175"/>
        <v>0</v>
      </c>
    </row>
    <row r="178" spans="2:37" ht="22.15" hidden="1" customHeight="1" outlineLevel="1" x14ac:dyDescent="0.25">
      <c r="B178" s="91" t="str">
        <f>IF(Assumptions!$A155="","",Assumptions!$A155)</f>
        <v>Test 21</v>
      </c>
      <c r="C178" s="221">
        <f>IFERROR(IF(INDEX(Assumptions!$D$135:$D$155,MATCH('Cash flow forecast'!$B178,Assumptions!$A$135:$A$155,0))="Monthly",(SUMIFS(Assumptions!$B$135:$B$155,Assumptions!$A$135:$A$155,'Cash flow forecast'!$B178,Assumptions!$E$135:$E$155,"&lt;="&amp;'Cash flow forecast'!C$5))*(INDEX(Assumptions!$C$135:$C$155,MATCH('Cash flow forecast'!$B178,Assumptions!$A$135:$A$155,0))),IF(OR('Cash flow forecast'!C$5=INDEX(Assumptions!$E$135:$E$155,MATCH('Cash flow forecast'!$B178,Assumptions!$A$135:$A$155,0)),'Cash flow forecast'!C$5=INDEX(Assumptions!$F$135:$F$155,MATCH('Cash flow forecast'!$B178,Assumptions!$A$135:$A$155,0))),SUMIFS(Assumptions!$B$135:$B$155,Assumptions!$A$135:$A$155,'Cash flow forecast'!$B178,Assumptions!$D$135:$D$155,"Annual"),0)),"")</f>
        <v>0</v>
      </c>
      <c r="D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forecast'!D$5))*(INDEX(Assumptions!$C$135:$C$155,MATCH('Cash flow forecast'!$B178,Assumptions!$A$135:$A$155,0))),IF(OR('Cash flow forecast'!D$5=INDEX(Assumptions!$E$135:$E$155,MATCH('Cash flow forecast'!$B178,Assumptions!$A$135:$A$155,0)),'Cash flow forecast'!D$5=INDEX(Assumptions!$F$135:$F$155,MATCH('Cash flow forecast'!$B178,Assumptions!$A$135:$A$155,0))),SUMIFS(Assumptions!$B$135:$B$155,Assumptions!$A$135:$A$155,'Cash flow forecast'!$B178,Assumptions!$D$135:$D$155,"Annual"),0)),"")</f>
        <v>0</v>
      </c>
      <c r="E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forecast'!E$5))*(INDEX(Assumptions!$C$135:$C$155,MATCH('Cash flow forecast'!$B178,Assumptions!$A$135:$A$155,0))),IF(OR('Cash flow forecast'!E$5=INDEX(Assumptions!$E$135:$E$155,MATCH('Cash flow forecast'!$B178,Assumptions!$A$135:$A$155,0)),'Cash flow forecast'!E$5=INDEX(Assumptions!$F$135:$F$155,MATCH('Cash flow forecast'!$B178,Assumptions!$A$135:$A$155,0))),SUMIFS(Assumptions!$B$135:$B$155,Assumptions!$A$135:$A$155,'Cash flow forecast'!$B178,Assumptions!$D$135:$D$155,"Annual"),0)),"")</f>
        <v>0</v>
      </c>
      <c r="F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forecast'!F$5))*(INDEX(Assumptions!$C$135:$C$155,MATCH('Cash flow forecast'!$B178,Assumptions!$A$135:$A$155,0))),IF(OR('Cash flow forecast'!F$5=INDEX(Assumptions!$E$135:$E$155,MATCH('Cash flow forecast'!$B178,Assumptions!$A$135:$A$155,0)),'Cash flow forecast'!F$5=INDEX(Assumptions!$F$135:$F$155,MATCH('Cash flow forecast'!$B178,Assumptions!$A$135:$A$155,0))),SUMIFS(Assumptions!$B$135:$B$155,Assumptions!$A$135:$A$155,'Cash flow forecast'!$B178,Assumptions!$D$135:$D$155,"Annual"),0)),"")</f>
        <v>5</v>
      </c>
      <c r="G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forecast'!G$5))*(INDEX(Assumptions!$C$135:$C$155,MATCH('Cash flow forecast'!$B178,Assumptions!$A$135:$A$155,0))),IF(OR('Cash flow forecast'!G$5=INDEX(Assumptions!$E$135:$E$155,MATCH('Cash flow forecast'!$B178,Assumptions!$A$135:$A$155,0)),'Cash flow forecast'!G$5=INDEX(Assumptions!$F$135:$F$155,MATCH('Cash flow forecast'!$B178,Assumptions!$A$135:$A$155,0))),SUMIFS(Assumptions!$B$135:$B$155,Assumptions!$A$135:$A$155,'Cash flow forecast'!$B178,Assumptions!$D$135:$D$155,"Annual"),0)),"")</f>
        <v>0</v>
      </c>
      <c r="H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forecast'!H$5))*(INDEX(Assumptions!$C$135:$C$155,MATCH('Cash flow forecast'!$B178,Assumptions!$A$135:$A$155,0))),IF(OR('Cash flow forecast'!H$5=INDEX(Assumptions!$E$135:$E$155,MATCH('Cash flow forecast'!$B178,Assumptions!$A$135:$A$155,0)),'Cash flow forecast'!H$5=INDEX(Assumptions!$F$135:$F$155,MATCH('Cash flow forecast'!$B178,Assumptions!$A$135:$A$155,0))),SUMIFS(Assumptions!$B$135:$B$155,Assumptions!$A$135:$A$155,'Cash flow forecast'!$B178,Assumptions!$D$135:$D$155,"Annual"),0)),"")</f>
        <v>0</v>
      </c>
      <c r="I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forecast'!I$5))*(INDEX(Assumptions!$C$135:$C$155,MATCH('Cash flow forecast'!$B178,Assumptions!$A$135:$A$155,0))),IF(OR('Cash flow forecast'!I$5=INDEX(Assumptions!$E$135:$E$155,MATCH('Cash flow forecast'!$B178,Assumptions!$A$135:$A$155,0)),'Cash flow forecast'!I$5=INDEX(Assumptions!$F$135:$F$155,MATCH('Cash flow forecast'!$B178,Assumptions!$A$135:$A$155,0))),SUMIFS(Assumptions!$B$135:$B$155,Assumptions!$A$135:$A$155,'Cash flow forecast'!$B178,Assumptions!$D$135:$D$155,"Annual"),0)),"")</f>
        <v>0</v>
      </c>
      <c r="J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forecast'!J$5))*(INDEX(Assumptions!$C$135:$C$155,MATCH('Cash flow forecast'!$B178,Assumptions!$A$135:$A$155,0))),IF(OR('Cash flow forecast'!J$5=INDEX(Assumptions!$E$135:$E$155,MATCH('Cash flow forecast'!$B178,Assumptions!$A$135:$A$155,0)),'Cash flow forecast'!J$5=INDEX(Assumptions!$F$135:$F$155,MATCH('Cash flow forecast'!$B178,Assumptions!$A$135:$A$155,0))),SUMIFS(Assumptions!$B$135:$B$155,Assumptions!$A$135:$A$155,'Cash flow forecast'!$B178,Assumptions!$D$135:$D$155,"Annual"),0)),"")</f>
        <v>0</v>
      </c>
      <c r="K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forecast'!K$5))*(INDEX(Assumptions!$C$135:$C$155,MATCH('Cash flow forecast'!$B178,Assumptions!$A$135:$A$155,0))),IF(OR('Cash flow forecast'!K$5=INDEX(Assumptions!$E$135:$E$155,MATCH('Cash flow forecast'!$B178,Assumptions!$A$135:$A$155,0)),'Cash flow forecast'!K$5=INDEX(Assumptions!$F$135:$F$155,MATCH('Cash flow forecast'!$B178,Assumptions!$A$135:$A$155,0))),SUMIFS(Assumptions!$B$135:$B$155,Assumptions!$A$135:$A$155,'Cash flow forecast'!$B178,Assumptions!$D$135:$D$155,"Annual"),0)),"")</f>
        <v>0</v>
      </c>
      <c r="L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forecast'!L$5))*(INDEX(Assumptions!$C$135:$C$155,MATCH('Cash flow forecast'!$B178,Assumptions!$A$135:$A$155,0))),IF(OR('Cash flow forecast'!L$5=INDEX(Assumptions!$E$135:$E$155,MATCH('Cash flow forecast'!$B178,Assumptions!$A$135:$A$155,0)),'Cash flow forecast'!L$5=INDEX(Assumptions!$F$135:$F$155,MATCH('Cash flow forecast'!$B178,Assumptions!$A$135:$A$155,0))),SUMIFS(Assumptions!$B$135:$B$155,Assumptions!$A$135:$A$155,'Cash flow forecast'!$B178,Assumptions!$D$135:$D$155,"Annual"),0)),"")</f>
        <v>0</v>
      </c>
      <c r="M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forecast'!M$5))*(INDEX(Assumptions!$C$135:$C$155,MATCH('Cash flow forecast'!$B178,Assumptions!$A$135:$A$155,0))),IF(OR('Cash flow forecast'!M$5=INDEX(Assumptions!$E$135:$E$155,MATCH('Cash flow forecast'!$B178,Assumptions!$A$135:$A$155,0)),'Cash flow forecast'!M$5=INDEX(Assumptions!$F$135:$F$155,MATCH('Cash flow forecast'!$B178,Assumptions!$A$135:$A$155,0))),SUMIFS(Assumptions!$B$135:$B$155,Assumptions!$A$135:$A$155,'Cash flow forecast'!$B178,Assumptions!$D$135:$D$155,"Annual"),0)),"")</f>
        <v>0</v>
      </c>
      <c r="N178" s="223">
        <f>IFERROR(IF(INDEX(Assumptions!$D$135:$D$155,MATCH('Cash flow forecast'!$B178,Assumptions!$A$135:$A$155,0))="Monthly",(SUMIFS(Assumptions!$B$135:$B$155,Assumptions!$A$135:$A$155,'Cash flow forecast'!$B178,Assumptions!$E$135:$E$155,"&lt;="&amp;'Cash flow forecast'!N$5))*(INDEX(Assumptions!$C$135:$C$155,MATCH('Cash flow forecast'!$B178,Assumptions!$A$135:$A$155,0))),IF(OR('Cash flow forecast'!N$5=INDEX(Assumptions!$E$135:$E$155,MATCH('Cash flow forecast'!$B178,Assumptions!$A$135:$A$155,0)),'Cash flow forecast'!N$5=INDEX(Assumptions!$F$135:$F$155,MATCH('Cash flow forecast'!$B178,Assumptions!$A$135:$A$155,0))),SUMIFS(Assumptions!$B$135:$B$155,Assumptions!$A$135:$A$155,'Cash flow forecast'!$B178,Assumptions!$D$135:$D$155,"Annual"),0)),"")</f>
        <v>0</v>
      </c>
      <c r="O178" s="221">
        <f>IFERROR(IF(INDEX(Assumptions!$D$135:$D$155,MATCH('Cash flow forecast'!$B178,Assumptions!$A$135:$A$155,0))="Monthly",(SUMIFS(Assumptions!$B$135:$B$155,Assumptions!$A$135:$A$155,'Cash flow forecast'!$B178,Assumptions!$E$135:$E$155,"&lt;="&amp;'Cash flow forecast'!O$5))*(INDEX(Assumptions!$C$135:$C$155,MATCH('Cash flow forecast'!$B178,Assumptions!$A$135:$A$155,0))),IF(OR('Cash flow forecast'!O$5=INDEX(Assumptions!$E$135:$E$155,MATCH('Cash flow forecast'!$B178,Assumptions!$A$135:$A$155,0)),'Cash flow forecast'!O$5=INDEX(Assumptions!$F$135:$F$155,MATCH('Cash flow forecast'!$B178,Assumptions!$A$135:$A$155,0))),SUMIFS(Assumptions!$B$135:$B$155,Assumptions!$A$135:$A$155,'Cash flow forecast'!$B178,Assumptions!$D$135:$D$155,"Annual"),0)),"")</f>
        <v>0</v>
      </c>
      <c r="P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forecast'!P$5))*(INDEX(Assumptions!$C$135:$C$155,MATCH('Cash flow forecast'!$B178,Assumptions!$A$135:$A$155,0))),IF(OR('Cash flow forecast'!P$5=INDEX(Assumptions!$E$135:$E$155,MATCH('Cash flow forecast'!$B178,Assumptions!$A$135:$A$155,0)),'Cash flow forecast'!P$5=INDEX(Assumptions!$F$135:$F$155,MATCH('Cash flow forecast'!$B178,Assumptions!$A$135:$A$155,0))),SUMIFS(Assumptions!$B$135:$B$155,Assumptions!$A$135:$A$155,'Cash flow forecast'!$B178,Assumptions!$D$135:$D$155,"Annual"),0)),"")</f>
        <v>0</v>
      </c>
      <c r="Q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forecast'!Q$5))*(INDEX(Assumptions!$C$135:$C$155,MATCH('Cash flow forecast'!$B178,Assumptions!$A$135:$A$155,0))),IF(OR('Cash flow forecast'!Q$5=INDEX(Assumptions!$E$135:$E$155,MATCH('Cash flow forecast'!$B178,Assumptions!$A$135:$A$155,0)),'Cash flow forecast'!Q$5=INDEX(Assumptions!$F$135:$F$155,MATCH('Cash flow forecast'!$B178,Assumptions!$A$135:$A$155,0))),SUMIFS(Assumptions!$B$135:$B$155,Assumptions!$A$135:$A$155,'Cash flow forecast'!$B178,Assumptions!$D$135:$D$155,"Annual"),0)),"")</f>
        <v>0</v>
      </c>
      <c r="R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forecast'!R$5))*(INDEX(Assumptions!$C$135:$C$155,MATCH('Cash flow forecast'!$B178,Assumptions!$A$135:$A$155,0))),IF(OR('Cash flow forecast'!R$5=INDEX(Assumptions!$E$135:$E$155,MATCH('Cash flow forecast'!$B178,Assumptions!$A$135:$A$155,0)),'Cash flow forecast'!R$5=INDEX(Assumptions!$F$135:$F$155,MATCH('Cash flow forecast'!$B178,Assumptions!$A$135:$A$155,0))),SUMIFS(Assumptions!$B$135:$B$155,Assumptions!$A$135:$A$155,'Cash flow forecast'!$B178,Assumptions!$D$135:$D$155,"Annual"),0)),"")</f>
        <v>5</v>
      </c>
      <c r="S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forecast'!S$5))*(INDEX(Assumptions!$C$135:$C$155,MATCH('Cash flow forecast'!$B178,Assumptions!$A$135:$A$155,0))),IF(OR('Cash flow forecast'!S$5=INDEX(Assumptions!$E$135:$E$155,MATCH('Cash flow forecast'!$B178,Assumptions!$A$135:$A$155,0)),'Cash flow forecast'!S$5=INDEX(Assumptions!$F$135:$F$155,MATCH('Cash flow forecast'!$B178,Assumptions!$A$135:$A$155,0))),SUMIFS(Assumptions!$B$135:$B$155,Assumptions!$A$135:$A$155,'Cash flow forecast'!$B178,Assumptions!$D$135:$D$155,"Annual"),0)),"")</f>
        <v>0</v>
      </c>
      <c r="T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forecast'!T$5))*(INDEX(Assumptions!$C$135:$C$155,MATCH('Cash flow forecast'!$B178,Assumptions!$A$135:$A$155,0))),IF(OR('Cash flow forecast'!T$5=INDEX(Assumptions!$E$135:$E$155,MATCH('Cash flow forecast'!$B178,Assumptions!$A$135:$A$155,0)),'Cash flow forecast'!T$5=INDEX(Assumptions!$F$135:$F$155,MATCH('Cash flow forecast'!$B178,Assumptions!$A$135:$A$155,0))),SUMIFS(Assumptions!$B$135:$B$155,Assumptions!$A$135:$A$155,'Cash flow forecast'!$B178,Assumptions!$D$135:$D$155,"Annual"),0)),"")</f>
        <v>0</v>
      </c>
      <c r="U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forecast'!U$5))*(INDEX(Assumptions!$C$135:$C$155,MATCH('Cash flow forecast'!$B178,Assumptions!$A$135:$A$155,0))),IF(OR('Cash flow forecast'!U$5=INDEX(Assumptions!$E$135:$E$155,MATCH('Cash flow forecast'!$B178,Assumptions!$A$135:$A$155,0)),'Cash flow forecast'!U$5=INDEX(Assumptions!$F$135:$F$155,MATCH('Cash flow forecast'!$B178,Assumptions!$A$135:$A$155,0))),SUMIFS(Assumptions!$B$135:$B$155,Assumptions!$A$135:$A$155,'Cash flow forecast'!$B178,Assumptions!$D$135:$D$155,"Annual"),0)),"")</f>
        <v>0</v>
      </c>
      <c r="V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forecast'!V$5))*(INDEX(Assumptions!$C$135:$C$155,MATCH('Cash flow forecast'!$B178,Assumptions!$A$135:$A$155,0))),IF(OR('Cash flow forecast'!V$5=INDEX(Assumptions!$E$135:$E$155,MATCH('Cash flow forecast'!$B178,Assumptions!$A$135:$A$155,0)),'Cash flow forecast'!V$5=INDEX(Assumptions!$F$135:$F$155,MATCH('Cash flow forecast'!$B178,Assumptions!$A$135:$A$155,0))),SUMIFS(Assumptions!$B$135:$B$155,Assumptions!$A$135:$A$155,'Cash flow forecast'!$B178,Assumptions!$D$135:$D$155,"Annual"),0)),"")</f>
        <v>0</v>
      </c>
      <c r="W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forecast'!W$5))*(INDEX(Assumptions!$C$135:$C$155,MATCH('Cash flow forecast'!$B178,Assumptions!$A$135:$A$155,0))),IF(OR('Cash flow forecast'!W$5=INDEX(Assumptions!$E$135:$E$155,MATCH('Cash flow forecast'!$B178,Assumptions!$A$135:$A$155,0)),'Cash flow forecast'!W$5=INDEX(Assumptions!$F$135:$F$155,MATCH('Cash flow forecast'!$B178,Assumptions!$A$135:$A$155,0))),SUMIFS(Assumptions!$B$135:$B$155,Assumptions!$A$135:$A$155,'Cash flow forecast'!$B178,Assumptions!$D$135:$D$155,"Annual"),0)),"")</f>
        <v>0</v>
      </c>
      <c r="X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forecast'!X$5))*(INDEX(Assumptions!$C$135:$C$155,MATCH('Cash flow forecast'!$B178,Assumptions!$A$135:$A$155,0))),IF(OR('Cash flow forecast'!X$5=INDEX(Assumptions!$E$135:$E$155,MATCH('Cash flow forecast'!$B178,Assumptions!$A$135:$A$155,0)),'Cash flow forecast'!X$5=INDEX(Assumptions!$F$135:$F$155,MATCH('Cash flow forecast'!$B178,Assumptions!$A$135:$A$155,0))),SUMIFS(Assumptions!$B$135:$B$155,Assumptions!$A$135:$A$155,'Cash flow forecast'!$B178,Assumptions!$D$135:$D$155,"Annual"),0)),"")</f>
        <v>0</v>
      </c>
      <c r="Y178" s="222">
        <f>IFERROR(IF(INDEX(Assumptions!$D$135:$D$155,MATCH('Cash flow forecast'!$B178,Assumptions!$A$135:$A$155,0))="Monthly",(SUMIFS(Assumptions!$B$135:$B$155,Assumptions!$A$135:$A$155,'Cash flow forecast'!$B178,Assumptions!$E$135:$E$155,"&lt;="&amp;'Cash flow forecast'!Y$5))*(INDEX(Assumptions!$C$135:$C$155,MATCH('Cash flow forecast'!$B178,Assumptions!$A$135:$A$155,0))),IF(OR('Cash flow forecast'!Y$5=INDEX(Assumptions!$E$135:$E$155,MATCH('Cash flow forecast'!$B178,Assumptions!$A$135:$A$155,0)),'Cash flow forecast'!Y$5=INDEX(Assumptions!$F$135:$F$155,MATCH('Cash flow forecast'!$B178,Assumptions!$A$135:$A$155,0))),SUMIFS(Assumptions!$B$135:$B$155,Assumptions!$A$135:$A$155,'Cash flow forecast'!$B178,Assumptions!$D$135:$D$155,"Annual"),0)),"")</f>
        <v>0</v>
      </c>
      <c r="Z178" s="223">
        <f>IFERROR(IF(INDEX(Assumptions!$D$135:$D$155,MATCH('Cash flow forecast'!$B178,Assumptions!$A$135:$A$155,0))="Monthly",(SUMIFS(Assumptions!$B$135:$B$155,Assumptions!$A$135:$A$155,'Cash flow forecast'!$B178,Assumptions!$E$135:$E$155,"&lt;="&amp;'Cash flow forecast'!Z$5))*(INDEX(Assumptions!$C$135:$C$155,MATCH('Cash flow forecast'!$B178,Assumptions!$A$135:$A$155,0))),IF(OR('Cash flow forecast'!Z$5=INDEX(Assumptions!$E$135:$E$155,MATCH('Cash flow forecast'!$B178,Assumptions!$A$135:$A$155,0)),'Cash flow forecast'!Z$5=INDEX(Assumptions!$F$135:$F$155,MATCH('Cash flow forecast'!$B178,Assumptions!$A$135:$A$155,0))),SUMIFS(Assumptions!$B$135:$B$155,Assumptions!$A$135:$A$155,'Cash flow forecast'!$B178,Assumptions!$D$135:$D$155,"Annual"),0)),"")</f>
        <v>0</v>
      </c>
      <c r="AA178" s="221">
        <f t="shared" si="178"/>
        <v>0</v>
      </c>
      <c r="AB178" s="224">
        <f t="shared" si="178"/>
        <v>5</v>
      </c>
      <c r="AC178" s="224">
        <f t="shared" si="178"/>
        <v>0</v>
      </c>
      <c r="AD178" s="224">
        <f t="shared" si="178"/>
        <v>0</v>
      </c>
      <c r="AE178" s="225">
        <f t="shared" si="173"/>
        <v>5</v>
      </c>
      <c r="AF178" s="221">
        <f t="shared" si="176"/>
        <v>0</v>
      </c>
      <c r="AG178" s="224">
        <f t="shared" si="176"/>
        <v>5</v>
      </c>
      <c r="AH178" s="224">
        <f t="shared" si="176"/>
        <v>0</v>
      </c>
      <c r="AI178" s="223">
        <f t="shared" si="176"/>
        <v>0</v>
      </c>
      <c r="AJ178" s="225">
        <f t="shared" si="177"/>
        <v>5</v>
      </c>
      <c r="AK178" s="243">
        <f t="shared" si="175"/>
        <v>9.7814157456822519E-6</v>
      </c>
    </row>
    <row r="179" spans="2:37" ht="22.15" customHeight="1" collapsed="1" x14ac:dyDescent="0.25">
      <c r="B179" s="96" t="s">
        <v>189</v>
      </c>
      <c r="C179" s="156">
        <f>SUM(C158:C178)</f>
        <v>2099.1499999999996</v>
      </c>
      <c r="D179" s="157">
        <f t="shared" ref="D179:AJ179" si="179">SUM(D158:D178)</f>
        <v>919.33</v>
      </c>
      <c r="E179" s="157">
        <f t="shared" si="179"/>
        <v>919.33</v>
      </c>
      <c r="F179" s="157">
        <f t="shared" si="179"/>
        <v>924.33</v>
      </c>
      <c r="G179" s="157">
        <f t="shared" si="179"/>
        <v>919.33</v>
      </c>
      <c r="H179" s="157">
        <f t="shared" si="179"/>
        <v>934.32999999999993</v>
      </c>
      <c r="I179" s="157">
        <f t="shared" si="179"/>
        <v>919.33</v>
      </c>
      <c r="J179" s="157">
        <f t="shared" si="179"/>
        <v>919.33</v>
      </c>
      <c r="K179" s="157">
        <f t="shared" si="179"/>
        <v>919.33</v>
      </c>
      <c r="L179" s="157">
        <f t="shared" si="179"/>
        <v>919.33</v>
      </c>
      <c r="M179" s="157">
        <f t="shared" si="179"/>
        <v>919.33</v>
      </c>
      <c r="N179" s="158">
        <f t="shared" si="179"/>
        <v>919.33</v>
      </c>
      <c r="O179" s="156">
        <f t="shared" si="179"/>
        <v>2099.1499999999996</v>
      </c>
      <c r="P179" s="157">
        <f t="shared" si="179"/>
        <v>919.33</v>
      </c>
      <c r="Q179" s="157">
        <f t="shared" si="179"/>
        <v>919.33</v>
      </c>
      <c r="R179" s="157">
        <f t="shared" si="179"/>
        <v>924.33</v>
      </c>
      <c r="S179" s="157">
        <f t="shared" si="179"/>
        <v>919.33</v>
      </c>
      <c r="T179" s="157">
        <f t="shared" si="179"/>
        <v>934.32999999999993</v>
      </c>
      <c r="U179" s="157">
        <f t="shared" si="179"/>
        <v>919.33</v>
      </c>
      <c r="V179" s="157">
        <f t="shared" si="179"/>
        <v>919.33</v>
      </c>
      <c r="W179" s="157">
        <f t="shared" si="179"/>
        <v>919.33</v>
      </c>
      <c r="X179" s="157">
        <f t="shared" si="179"/>
        <v>919.33</v>
      </c>
      <c r="Y179" s="157">
        <f t="shared" si="179"/>
        <v>919.33</v>
      </c>
      <c r="Z179" s="158">
        <f t="shared" si="179"/>
        <v>919.33</v>
      </c>
      <c r="AA179" s="156">
        <f t="shared" si="179"/>
        <v>3937.81</v>
      </c>
      <c r="AB179" s="157">
        <f t="shared" si="179"/>
        <v>2762.99</v>
      </c>
      <c r="AC179" s="157">
        <f t="shared" si="179"/>
        <v>2772.99</v>
      </c>
      <c r="AD179" s="157">
        <f t="shared" si="179"/>
        <v>2757.99</v>
      </c>
      <c r="AE179" s="159">
        <f t="shared" si="179"/>
        <v>12231.779999999999</v>
      </c>
      <c r="AF179" s="156">
        <f t="shared" si="179"/>
        <v>3937.81</v>
      </c>
      <c r="AG179" s="157">
        <f t="shared" si="179"/>
        <v>2762.99</v>
      </c>
      <c r="AH179" s="157">
        <f t="shared" si="179"/>
        <v>2772.99</v>
      </c>
      <c r="AI179" s="158">
        <f t="shared" si="179"/>
        <v>2757.99</v>
      </c>
      <c r="AJ179" s="159">
        <f t="shared" si="179"/>
        <v>12231.779999999999</v>
      </c>
      <c r="AK179" s="244">
        <f>AVERAGE(AE179,AJ179)/AVERAGE($AE$220,$AJ$220)</f>
        <v>2.3928825097944247E-2</v>
      </c>
    </row>
    <row r="180" spans="2:37" ht="22.15" customHeight="1" x14ac:dyDescent="0.25">
      <c r="B180" s="89" t="s">
        <v>195</v>
      </c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234"/>
      <c r="AK180" s="245"/>
    </row>
    <row r="181" spans="2:37" ht="22.15" hidden="1" customHeight="1" outlineLevel="1" x14ac:dyDescent="0.25">
      <c r="B181" s="91" t="str">
        <f>Assumptions!A159</f>
        <v>Test 1</v>
      </c>
      <c r="C181" s="217">
        <f>IFERROR(IF(INDEX(Assumptions!$D$159:$D$168,MATCH('Cash flow forecast'!$B181,Assumptions!$A$159:$A$168,0))="Monthly",(SUMIFS(Assumptions!$B$159:$B$168,Assumptions!$A$159:$A$168,'Cash flow forecast'!$B181,Assumptions!$E$159:$E$168,"&lt;="&amp;'Cash flow forecast'!C$5))*(INDEX(Assumptions!$C$159:$C$168,MATCH('Cash flow forecast'!$B181,Assumptions!$A$159:$A$168,0))),IF(OR('Cash flow forecast'!C$5=INDEX(Assumptions!$E$159:$E$168,MATCH('Cash flow forecast'!$B181,Assumptions!$A$159:$A$168,0)),'Cash flow forecast'!C$5=INDEX(Assumptions!$F$159:$F$168,MATCH('Cash flow forecast'!$B181,Assumptions!$A$159:$A$168,0))),SUMIFS(Assumptions!$B$159:$B$168,Assumptions!$A$159:$A$168,'Cash flow forecast'!$B181,Assumptions!$D$159:$D$168,"Annual"),0)),"")</f>
        <v>0</v>
      </c>
      <c r="D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forecast'!D$5))*(INDEX(Assumptions!$C$159:$C$168,MATCH('Cash flow forecast'!$B181,Assumptions!$A$159:$A$168,0))),IF(OR('Cash flow forecast'!D$5=INDEX(Assumptions!$E$159:$E$168,MATCH('Cash flow forecast'!$B181,Assumptions!$A$159:$A$168,0)),'Cash flow forecast'!D$5=INDEX(Assumptions!$F$159:$F$168,MATCH('Cash flow forecast'!$B181,Assumptions!$A$159:$A$168,0))),SUMIFS(Assumptions!$B$159:$B$168,Assumptions!$A$159:$A$168,'Cash flow forecast'!$B181,Assumptions!$D$159:$D$168,"Annual"),0)),"")</f>
        <v>0</v>
      </c>
      <c r="E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forecast'!E$5))*(INDEX(Assumptions!$C$159:$C$168,MATCH('Cash flow forecast'!$B181,Assumptions!$A$159:$A$168,0))),IF(OR('Cash flow forecast'!E$5=INDEX(Assumptions!$E$159:$E$168,MATCH('Cash flow forecast'!$B181,Assumptions!$A$159:$A$168,0)),'Cash flow forecast'!E$5=INDEX(Assumptions!$F$159:$F$168,MATCH('Cash flow forecast'!$B181,Assumptions!$A$159:$A$168,0))),SUMIFS(Assumptions!$B$159:$B$168,Assumptions!$A$159:$A$168,'Cash flow forecast'!$B181,Assumptions!$D$159:$D$168,"Annual"),0)),"")</f>
        <v>0</v>
      </c>
      <c r="F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forecast'!F$5))*(INDEX(Assumptions!$C$159:$C$168,MATCH('Cash flow forecast'!$B181,Assumptions!$A$159:$A$168,0))),IF(OR('Cash flow forecast'!F$5=INDEX(Assumptions!$E$159:$E$168,MATCH('Cash flow forecast'!$B181,Assumptions!$A$159:$A$168,0)),'Cash flow forecast'!F$5=INDEX(Assumptions!$F$159:$F$168,MATCH('Cash flow forecast'!$B181,Assumptions!$A$159:$A$168,0))),SUMIFS(Assumptions!$B$159:$B$168,Assumptions!$A$159:$A$168,'Cash flow forecast'!$B181,Assumptions!$D$159:$D$168,"Annual"),0)),"")</f>
        <v>0</v>
      </c>
      <c r="G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forecast'!G$5))*(INDEX(Assumptions!$C$159:$C$168,MATCH('Cash flow forecast'!$B181,Assumptions!$A$159:$A$168,0))),IF(OR('Cash flow forecast'!G$5=INDEX(Assumptions!$E$159:$E$168,MATCH('Cash flow forecast'!$B181,Assumptions!$A$159:$A$168,0)),'Cash flow forecast'!G$5=INDEX(Assumptions!$F$159:$F$168,MATCH('Cash flow forecast'!$B181,Assumptions!$A$159:$A$168,0))),SUMIFS(Assumptions!$B$159:$B$168,Assumptions!$A$159:$A$168,'Cash flow forecast'!$B181,Assumptions!$D$159:$D$168,"Annual"),0)),"")</f>
        <v>0</v>
      </c>
      <c r="H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forecast'!H$5))*(INDEX(Assumptions!$C$159:$C$168,MATCH('Cash flow forecast'!$B181,Assumptions!$A$159:$A$168,0))),IF(OR('Cash flow forecast'!H$5=INDEX(Assumptions!$E$159:$E$168,MATCH('Cash flow forecast'!$B181,Assumptions!$A$159:$A$168,0)),'Cash flow forecast'!H$5=INDEX(Assumptions!$F$159:$F$168,MATCH('Cash flow forecast'!$B181,Assumptions!$A$159:$A$168,0))),SUMIFS(Assumptions!$B$159:$B$168,Assumptions!$A$159:$A$168,'Cash flow forecast'!$B181,Assumptions!$D$159:$D$168,"Annual"),0)),"")</f>
        <v>10</v>
      </c>
      <c r="I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forecast'!I$5))*(INDEX(Assumptions!$C$159:$C$168,MATCH('Cash flow forecast'!$B181,Assumptions!$A$159:$A$168,0))),IF(OR('Cash flow forecast'!I$5=INDEX(Assumptions!$E$159:$E$168,MATCH('Cash flow forecast'!$B181,Assumptions!$A$159:$A$168,0)),'Cash flow forecast'!I$5=INDEX(Assumptions!$F$159:$F$168,MATCH('Cash flow forecast'!$B181,Assumptions!$A$159:$A$168,0))),SUMIFS(Assumptions!$B$159:$B$168,Assumptions!$A$159:$A$168,'Cash flow forecast'!$B181,Assumptions!$D$159:$D$168,"Annual"),0)),"")</f>
        <v>0</v>
      </c>
      <c r="J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forecast'!J$5))*(INDEX(Assumptions!$C$159:$C$168,MATCH('Cash flow forecast'!$B181,Assumptions!$A$159:$A$168,0))),IF(OR('Cash flow forecast'!J$5=INDEX(Assumptions!$E$159:$E$168,MATCH('Cash flow forecast'!$B181,Assumptions!$A$159:$A$168,0)),'Cash flow forecast'!J$5=INDEX(Assumptions!$F$159:$F$168,MATCH('Cash flow forecast'!$B181,Assumptions!$A$159:$A$168,0))),SUMIFS(Assumptions!$B$159:$B$168,Assumptions!$A$159:$A$168,'Cash flow forecast'!$B181,Assumptions!$D$159:$D$168,"Annual"),0)),"")</f>
        <v>0</v>
      </c>
      <c r="K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forecast'!K$5))*(INDEX(Assumptions!$C$159:$C$168,MATCH('Cash flow forecast'!$B181,Assumptions!$A$159:$A$168,0))),IF(OR('Cash flow forecast'!K$5=INDEX(Assumptions!$E$159:$E$168,MATCH('Cash flow forecast'!$B181,Assumptions!$A$159:$A$168,0)),'Cash flow forecast'!K$5=INDEX(Assumptions!$F$159:$F$168,MATCH('Cash flow forecast'!$B181,Assumptions!$A$159:$A$168,0))),SUMIFS(Assumptions!$B$159:$B$168,Assumptions!$A$159:$A$168,'Cash flow forecast'!$B181,Assumptions!$D$159:$D$168,"Annual"),0)),"")</f>
        <v>0</v>
      </c>
      <c r="L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forecast'!L$5))*(INDEX(Assumptions!$C$159:$C$168,MATCH('Cash flow forecast'!$B181,Assumptions!$A$159:$A$168,0))),IF(OR('Cash flow forecast'!L$5=INDEX(Assumptions!$E$159:$E$168,MATCH('Cash flow forecast'!$B181,Assumptions!$A$159:$A$168,0)),'Cash flow forecast'!L$5=INDEX(Assumptions!$F$159:$F$168,MATCH('Cash flow forecast'!$B181,Assumptions!$A$159:$A$168,0))),SUMIFS(Assumptions!$B$159:$B$168,Assumptions!$A$159:$A$168,'Cash flow forecast'!$B181,Assumptions!$D$159:$D$168,"Annual"),0)),"")</f>
        <v>0</v>
      </c>
      <c r="M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forecast'!M$5))*(INDEX(Assumptions!$C$159:$C$168,MATCH('Cash flow forecast'!$B181,Assumptions!$A$159:$A$168,0))),IF(OR('Cash flow forecast'!M$5=INDEX(Assumptions!$E$159:$E$168,MATCH('Cash flow forecast'!$B181,Assumptions!$A$159:$A$168,0)),'Cash flow forecast'!M$5=INDEX(Assumptions!$F$159:$F$168,MATCH('Cash flow forecast'!$B181,Assumptions!$A$159:$A$168,0))),SUMIFS(Assumptions!$B$159:$B$168,Assumptions!$A$159:$A$168,'Cash flow forecast'!$B181,Assumptions!$D$159:$D$168,"Annual"),0)),"")</f>
        <v>0</v>
      </c>
      <c r="N181" s="219">
        <f>IFERROR(IF(INDEX(Assumptions!$D$159:$D$168,MATCH('Cash flow forecast'!$B181,Assumptions!$A$159:$A$168,0))="Monthly",(SUMIFS(Assumptions!$B$159:$B$168,Assumptions!$A$159:$A$168,'Cash flow forecast'!$B181,Assumptions!$E$159:$E$168,"&lt;="&amp;'Cash flow forecast'!N$5))*(INDEX(Assumptions!$C$159:$C$168,MATCH('Cash flow forecast'!$B181,Assumptions!$A$159:$A$168,0))),IF(OR('Cash flow forecast'!N$5=INDEX(Assumptions!$E$159:$E$168,MATCH('Cash flow forecast'!$B181,Assumptions!$A$159:$A$168,0)),'Cash flow forecast'!N$5=INDEX(Assumptions!$F$159:$F$168,MATCH('Cash flow forecast'!$B181,Assumptions!$A$159:$A$168,0))),SUMIFS(Assumptions!$B$159:$B$168,Assumptions!$A$159:$A$168,'Cash flow forecast'!$B181,Assumptions!$D$159:$D$168,"Annual"),0)),"")</f>
        <v>0</v>
      </c>
      <c r="O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forecast'!O$5))*(INDEX(Assumptions!$C$159:$C$168,MATCH('Cash flow forecast'!$B181,Assumptions!$A$159:$A$168,0))),IF(OR('Cash flow forecast'!O$5=INDEX(Assumptions!$E$159:$E$168,MATCH('Cash flow forecast'!$B181,Assumptions!$A$159:$A$168,0)),'Cash flow forecast'!O$5=INDEX(Assumptions!$F$159:$F$168,MATCH('Cash flow forecast'!$B181,Assumptions!$A$159:$A$168,0))),SUMIFS(Assumptions!$B$159:$B$168,Assumptions!$A$159:$A$168,'Cash flow forecast'!$B181,Assumptions!$D$159:$D$168,"Annual"),0)),"")</f>
        <v>0</v>
      </c>
      <c r="P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forecast'!P$5))*(INDEX(Assumptions!$C$159:$C$168,MATCH('Cash flow forecast'!$B181,Assumptions!$A$159:$A$168,0))),IF(OR('Cash flow forecast'!P$5=INDEX(Assumptions!$E$159:$E$168,MATCH('Cash flow forecast'!$B181,Assumptions!$A$159:$A$168,0)),'Cash flow forecast'!P$5=INDEX(Assumptions!$F$159:$F$168,MATCH('Cash flow forecast'!$B181,Assumptions!$A$159:$A$168,0))),SUMIFS(Assumptions!$B$159:$B$168,Assumptions!$A$159:$A$168,'Cash flow forecast'!$B181,Assumptions!$D$159:$D$168,"Annual"),0)),"")</f>
        <v>0</v>
      </c>
      <c r="Q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forecast'!Q$5))*(INDEX(Assumptions!$C$159:$C$168,MATCH('Cash flow forecast'!$B181,Assumptions!$A$159:$A$168,0))),IF(OR('Cash flow forecast'!Q$5=INDEX(Assumptions!$E$159:$E$168,MATCH('Cash flow forecast'!$B181,Assumptions!$A$159:$A$168,0)),'Cash flow forecast'!Q$5=INDEX(Assumptions!$F$159:$F$168,MATCH('Cash flow forecast'!$B181,Assumptions!$A$159:$A$168,0))),SUMIFS(Assumptions!$B$159:$B$168,Assumptions!$A$159:$A$168,'Cash flow forecast'!$B181,Assumptions!$D$159:$D$168,"Annual"),0)),"")</f>
        <v>0</v>
      </c>
      <c r="R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forecast'!R$5))*(INDEX(Assumptions!$C$159:$C$168,MATCH('Cash flow forecast'!$B181,Assumptions!$A$159:$A$168,0))),IF(OR('Cash flow forecast'!R$5=INDEX(Assumptions!$E$159:$E$168,MATCH('Cash flow forecast'!$B181,Assumptions!$A$159:$A$168,0)),'Cash flow forecast'!R$5=INDEX(Assumptions!$F$159:$F$168,MATCH('Cash flow forecast'!$B181,Assumptions!$A$159:$A$168,0))),SUMIFS(Assumptions!$B$159:$B$168,Assumptions!$A$159:$A$168,'Cash flow forecast'!$B181,Assumptions!$D$159:$D$168,"Annual"),0)),"")</f>
        <v>0</v>
      </c>
      <c r="S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forecast'!S$5))*(INDEX(Assumptions!$C$159:$C$168,MATCH('Cash flow forecast'!$B181,Assumptions!$A$159:$A$168,0))),IF(OR('Cash flow forecast'!S$5=INDEX(Assumptions!$E$159:$E$168,MATCH('Cash flow forecast'!$B181,Assumptions!$A$159:$A$168,0)),'Cash flow forecast'!S$5=INDEX(Assumptions!$F$159:$F$168,MATCH('Cash flow forecast'!$B181,Assumptions!$A$159:$A$168,0))),SUMIFS(Assumptions!$B$159:$B$168,Assumptions!$A$159:$A$168,'Cash flow forecast'!$B181,Assumptions!$D$159:$D$168,"Annual"),0)),"")</f>
        <v>0</v>
      </c>
      <c r="T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forecast'!T$5))*(INDEX(Assumptions!$C$159:$C$168,MATCH('Cash flow forecast'!$B181,Assumptions!$A$159:$A$168,0))),IF(OR('Cash flow forecast'!T$5=INDEX(Assumptions!$E$159:$E$168,MATCH('Cash flow forecast'!$B181,Assumptions!$A$159:$A$168,0)),'Cash flow forecast'!T$5=INDEX(Assumptions!$F$159:$F$168,MATCH('Cash flow forecast'!$B181,Assumptions!$A$159:$A$168,0))),SUMIFS(Assumptions!$B$159:$B$168,Assumptions!$A$159:$A$168,'Cash flow forecast'!$B181,Assumptions!$D$159:$D$168,"Annual"),0)),"")</f>
        <v>10</v>
      </c>
      <c r="U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forecast'!U$5))*(INDEX(Assumptions!$C$159:$C$168,MATCH('Cash flow forecast'!$B181,Assumptions!$A$159:$A$168,0))),IF(OR('Cash flow forecast'!U$5=INDEX(Assumptions!$E$159:$E$168,MATCH('Cash flow forecast'!$B181,Assumptions!$A$159:$A$168,0)),'Cash flow forecast'!U$5=INDEX(Assumptions!$F$159:$F$168,MATCH('Cash flow forecast'!$B181,Assumptions!$A$159:$A$168,0))),SUMIFS(Assumptions!$B$159:$B$168,Assumptions!$A$159:$A$168,'Cash flow forecast'!$B181,Assumptions!$D$159:$D$168,"Annual"),0)),"")</f>
        <v>0</v>
      </c>
      <c r="V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forecast'!V$5))*(INDEX(Assumptions!$C$159:$C$168,MATCH('Cash flow forecast'!$B181,Assumptions!$A$159:$A$168,0))),IF(OR('Cash flow forecast'!V$5=INDEX(Assumptions!$E$159:$E$168,MATCH('Cash flow forecast'!$B181,Assumptions!$A$159:$A$168,0)),'Cash flow forecast'!V$5=INDEX(Assumptions!$F$159:$F$168,MATCH('Cash flow forecast'!$B181,Assumptions!$A$159:$A$168,0))),SUMIFS(Assumptions!$B$159:$B$168,Assumptions!$A$159:$A$168,'Cash flow forecast'!$B181,Assumptions!$D$159:$D$168,"Annual"),0)),"")</f>
        <v>0</v>
      </c>
      <c r="W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forecast'!W$5))*(INDEX(Assumptions!$C$159:$C$168,MATCH('Cash flow forecast'!$B181,Assumptions!$A$159:$A$168,0))),IF(OR('Cash flow forecast'!W$5=INDEX(Assumptions!$E$159:$E$168,MATCH('Cash flow forecast'!$B181,Assumptions!$A$159:$A$168,0)),'Cash flow forecast'!W$5=INDEX(Assumptions!$F$159:$F$168,MATCH('Cash flow forecast'!$B181,Assumptions!$A$159:$A$168,0))),SUMIFS(Assumptions!$B$159:$B$168,Assumptions!$A$159:$A$168,'Cash flow forecast'!$B181,Assumptions!$D$159:$D$168,"Annual"),0)),"")</f>
        <v>0</v>
      </c>
      <c r="X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forecast'!X$5))*(INDEX(Assumptions!$C$159:$C$168,MATCH('Cash flow forecast'!$B181,Assumptions!$A$159:$A$168,0))),IF(OR('Cash flow forecast'!X$5=INDEX(Assumptions!$E$159:$E$168,MATCH('Cash flow forecast'!$B181,Assumptions!$A$159:$A$168,0)),'Cash flow forecast'!X$5=INDEX(Assumptions!$F$159:$F$168,MATCH('Cash flow forecast'!$B181,Assumptions!$A$159:$A$168,0))),SUMIFS(Assumptions!$B$159:$B$168,Assumptions!$A$159:$A$168,'Cash flow forecast'!$B181,Assumptions!$D$159:$D$168,"Annual"),0)),"")</f>
        <v>0</v>
      </c>
      <c r="Y181" s="218">
        <f>IFERROR(IF(INDEX(Assumptions!$D$159:$D$168,MATCH('Cash flow forecast'!$B181,Assumptions!$A$159:$A$168,0))="Monthly",(SUMIFS(Assumptions!$B$159:$B$168,Assumptions!$A$159:$A$168,'Cash flow forecast'!$B181,Assumptions!$E$159:$E$168,"&lt;="&amp;'Cash flow forecast'!Y$5))*(INDEX(Assumptions!$C$159:$C$168,MATCH('Cash flow forecast'!$B181,Assumptions!$A$159:$A$168,0))),IF(OR('Cash flow forecast'!Y$5=INDEX(Assumptions!$E$159:$E$168,MATCH('Cash flow forecast'!$B181,Assumptions!$A$159:$A$168,0)),'Cash flow forecast'!Y$5=INDEX(Assumptions!$F$159:$F$168,MATCH('Cash flow forecast'!$B181,Assumptions!$A$159:$A$168,0))),SUMIFS(Assumptions!$B$159:$B$168,Assumptions!$A$159:$A$168,'Cash flow forecast'!$B181,Assumptions!$D$159:$D$168,"Annual"),0)),"")</f>
        <v>0</v>
      </c>
      <c r="Z181" s="219">
        <f>IFERROR(IF(INDEX(Assumptions!$D$159:$D$168,MATCH('Cash flow forecast'!$B181,Assumptions!$A$159:$A$168,0))="Monthly",(SUMIFS(Assumptions!$B$159:$B$168,Assumptions!$A$159:$A$168,'Cash flow forecast'!$B181,Assumptions!$E$159:$E$168,"&lt;="&amp;'Cash flow forecast'!Z$5))*(INDEX(Assumptions!$C$159:$C$168,MATCH('Cash flow forecast'!$B181,Assumptions!$A$159:$A$168,0))),IF(OR('Cash flow forecast'!Z$5=INDEX(Assumptions!$E$159:$E$168,MATCH('Cash flow forecast'!$B181,Assumptions!$A$159:$A$168,0)),'Cash flow forecast'!Z$5=INDEX(Assumptions!$F$159:$F$168,MATCH('Cash flow forecast'!$B181,Assumptions!$A$159:$A$168,0))),SUMIFS(Assumptions!$B$159:$B$168,Assumptions!$A$159:$A$168,'Cash flow forecast'!$B181,Assumptions!$D$159:$D$168,"Annual"),0)),"")</f>
        <v>0</v>
      </c>
      <c r="AA181" s="217">
        <f t="shared" ref="AA181:AD190" si="180">SUMIFS($C181:$N181,$C$6:$N$6,AA$5)</f>
        <v>0</v>
      </c>
      <c r="AB181" s="218">
        <f t="shared" si="180"/>
        <v>0</v>
      </c>
      <c r="AC181" s="218">
        <f t="shared" si="180"/>
        <v>10</v>
      </c>
      <c r="AD181" s="218">
        <f t="shared" si="180"/>
        <v>0</v>
      </c>
      <c r="AE181" s="220">
        <f t="shared" si="173"/>
        <v>10</v>
      </c>
      <c r="AF181" s="217">
        <f>SUMIFS($O181:$Z181,$O$6:$Z$6,AF$5)</f>
        <v>0</v>
      </c>
      <c r="AG181" s="218">
        <f t="shared" ref="AG181:AI190" si="181">SUMIFS($O181:$Z181,$O$6:$Z$6,AG$5)</f>
        <v>0</v>
      </c>
      <c r="AH181" s="218">
        <f t="shared" si="181"/>
        <v>10</v>
      </c>
      <c r="AI181" s="219">
        <f t="shared" si="181"/>
        <v>0</v>
      </c>
      <c r="AJ181" s="220">
        <f>SUM($O181:$Z181)</f>
        <v>10</v>
      </c>
      <c r="AK181" s="242">
        <f t="shared" ref="AK181:AK220" si="182">AVERAGE(AE181,AJ181)/AVERAGE($AE$220,$AJ$220)</f>
        <v>1.9562831491364504E-5</v>
      </c>
    </row>
    <row r="182" spans="2:37" ht="22.15" hidden="1" customHeight="1" outlineLevel="1" x14ac:dyDescent="0.25">
      <c r="B182" s="91" t="str">
        <f>Assumptions!A160</f>
        <v>Test 2</v>
      </c>
      <c r="C182" s="221">
        <f>IFERROR(IF(INDEX(Assumptions!$D$159:$D$168,MATCH('Cash flow forecast'!$B182,Assumptions!$A$159:$A$168,0))="Monthly",(SUMIFS(Assumptions!$B$159:$B$168,Assumptions!$A$159:$A$168,'Cash flow forecast'!$B182,Assumptions!$E$159:$E$168,"&lt;="&amp;'Cash flow forecast'!C$5))*(INDEX(Assumptions!$C$159:$C$168,MATCH('Cash flow forecast'!$B182,Assumptions!$A$159:$A$168,0))),IF(OR('Cash flow forecast'!C$5=INDEX(Assumptions!$E$159:$E$168,MATCH('Cash flow forecast'!$B182,Assumptions!$A$159:$A$168,0)),'Cash flow forecast'!C$5=INDEX(Assumptions!$F$159:$F$168,MATCH('Cash flow forecast'!$B182,Assumptions!$A$159:$A$168,0))),SUMIFS(Assumptions!$B$159:$B$168,Assumptions!$A$159:$A$168,'Cash flow forecast'!$B182,Assumptions!$D$159:$D$168,"Annual"),0)),"")</f>
        <v>10</v>
      </c>
      <c r="D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forecast'!D$5))*(INDEX(Assumptions!$C$159:$C$168,MATCH('Cash flow forecast'!$B182,Assumptions!$A$159:$A$168,0))),IF(OR('Cash flow forecast'!D$5=INDEX(Assumptions!$E$159:$E$168,MATCH('Cash flow forecast'!$B182,Assumptions!$A$159:$A$168,0)),'Cash flow forecast'!D$5=INDEX(Assumptions!$F$159:$F$168,MATCH('Cash flow forecast'!$B182,Assumptions!$A$159:$A$168,0))),SUMIFS(Assumptions!$B$159:$B$168,Assumptions!$A$159:$A$168,'Cash flow forecast'!$B182,Assumptions!$D$159:$D$168,"Annual"),0)),"")</f>
        <v>0</v>
      </c>
      <c r="E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forecast'!E$5))*(INDEX(Assumptions!$C$159:$C$168,MATCH('Cash flow forecast'!$B182,Assumptions!$A$159:$A$168,0))),IF(OR('Cash flow forecast'!E$5=INDEX(Assumptions!$E$159:$E$168,MATCH('Cash flow forecast'!$B182,Assumptions!$A$159:$A$168,0)),'Cash flow forecast'!E$5=INDEX(Assumptions!$F$159:$F$168,MATCH('Cash flow forecast'!$B182,Assumptions!$A$159:$A$168,0))),SUMIFS(Assumptions!$B$159:$B$168,Assumptions!$A$159:$A$168,'Cash flow forecast'!$B182,Assumptions!$D$159:$D$168,"Annual"),0)),"")</f>
        <v>0</v>
      </c>
      <c r="F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forecast'!F$5))*(INDEX(Assumptions!$C$159:$C$168,MATCH('Cash flow forecast'!$B182,Assumptions!$A$159:$A$168,0))),IF(OR('Cash flow forecast'!F$5=INDEX(Assumptions!$E$159:$E$168,MATCH('Cash flow forecast'!$B182,Assumptions!$A$159:$A$168,0)),'Cash flow forecast'!F$5=INDEX(Assumptions!$F$159:$F$168,MATCH('Cash flow forecast'!$B182,Assumptions!$A$159:$A$168,0))),SUMIFS(Assumptions!$B$159:$B$168,Assumptions!$A$159:$A$168,'Cash flow forecast'!$B182,Assumptions!$D$159:$D$168,"Annual"),0)),"")</f>
        <v>0</v>
      </c>
      <c r="G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forecast'!G$5))*(INDEX(Assumptions!$C$159:$C$168,MATCH('Cash flow forecast'!$B182,Assumptions!$A$159:$A$168,0))),IF(OR('Cash flow forecast'!G$5=INDEX(Assumptions!$E$159:$E$168,MATCH('Cash flow forecast'!$B182,Assumptions!$A$159:$A$168,0)),'Cash flow forecast'!G$5=INDEX(Assumptions!$F$159:$F$168,MATCH('Cash flow forecast'!$B182,Assumptions!$A$159:$A$168,0))),SUMIFS(Assumptions!$B$159:$B$168,Assumptions!$A$159:$A$168,'Cash flow forecast'!$B182,Assumptions!$D$159:$D$168,"Annual"),0)),"")</f>
        <v>0</v>
      </c>
      <c r="H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forecast'!H$5))*(INDEX(Assumptions!$C$159:$C$168,MATCH('Cash flow forecast'!$B182,Assumptions!$A$159:$A$168,0))),IF(OR('Cash flow forecast'!H$5=INDEX(Assumptions!$E$159:$E$168,MATCH('Cash flow forecast'!$B182,Assumptions!$A$159:$A$168,0)),'Cash flow forecast'!H$5=INDEX(Assumptions!$F$159:$F$168,MATCH('Cash flow forecast'!$B182,Assumptions!$A$159:$A$168,0))),SUMIFS(Assumptions!$B$159:$B$168,Assumptions!$A$159:$A$168,'Cash flow forecast'!$B182,Assumptions!$D$159:$D$168,"Annual"),0)),"")</f>
        <v>0</v>
      </c>
      <c r="I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forecast'!I$5))*(INDEX(Assumptions!$C$159:$C$168,MATCH('Cash flow forecast'!$B182,Assumptions!$A$159:$A$168,0))),IF(OR('Cash flow forecast'!I$5=INDEX(Assumptions!$E$159:$E$168,MATCH('Cash flow forecast'!$B182,Assumptions!$A$159:$A$168,0)),'Cash flow forecast'!I$5=INDEX(Assumptions!$F$159:$F$168,MATCH('Cash flow forecast'!$B182,Assumptions!$A$159:$A$168,0))),SUMIFS(Assumptions!$B$159:$B$168,Assumptions!$A$159:$A$168,'Cash flow forecast'!$B182,Assumptions!$D$159:$D$168,"Annual"),0)),"")</f>
        <v>0</v>
      </c>
      <c r="J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forecast'!J$5))*(INDEX(Assumptions!$C$159:$C$168,MATCH('Cash flow forecast'!$B182,Assumptions!$A$159:$A$168,0))),IF(OR('Cash flow forecast'!J$5=INDEX(Assumptions!$E$159:$E$168,MATCH('Cash flow forecast'!$B182,Assumptions!$A$159:$A$168,0)),'Cash flow forecast'!J$5=INDEX(Assumptions!$F$159:$F$168,MATCH('Cash flow forecast'!$B182,Assumptions!$A$159:$A$168,0))),SUMIFS(Assumptions!$B$159:$B$168,Assumptions!$A$159:$A$168,'Cash flow forecast'!$B182,Assumptions!$D$159:$D$168,"Annual"),0)),"")</f>
        <v>0</v>
      </c>
      <c r="K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forecast'!K$5))*(INDEX(Assumptions!$C$159:$C$168,MATCH('Cash flow forecast'!$B182,Assumptions!$A$159:$A$168,0))),IF(OR('Cash flow forecast'!K$5=INDEX(Assumptions!$E$159:$E$168,MATCH('Cash flow forecast'!$B182,Assumptions!$A$159:$A$168,0)),'Cash flow forecast'!K$5=INDEX(Assumptions!$F$159:$F$168,MATCH('Cash flow forecast'!$B182,Assumptions!$A$159:$A$168,0))),SUMIFS(Assumptions!$B$159:$B$168,Assumptions!$A$159:$A$168,'Cash flow forecast'!$B182,Assumptions!$D$159:$D$168,"Annual"),0)),"")</f>
        <v>0</v>
      </c>
      <c r="L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forecast'!L$5))*(INDEX(Assumptions!$C$159:$C$168,MATCH('Cash flow forecast'!$B182,Assumptions!$A$159:$A$168,0))),IF(OR('Cash flow forecast'!L$5=INDEX(Assumptions!$E$159:$E$168,MATCH('Cash flow forecast'!$B182,Assumptions!$A$159:$A$168,0)),'Cash flow forecast'!L$5=INDEX(Assumptions!$F$159:$F$168,MATCH('Cash flow forecast'!$B182,Assumptions!$A$159:$A$168,0))),SUMIFS(Assumptions!$B$159:$B$168,Assumptions!$A$159:$A$168,'Cash flow forecast'!$B182,Assumptions!$D$159:$D$168,"Annual"),0)),"")</f>
        <v>0</v>
      </c>
      <c r="M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forecast'!M$5))*(INDEX(Assumptions!$C$159:$C$168,MATCH('Cash flow forecast'!$B182,Assumptions!$A$159:$A$168,0))),IF(OR('Cash flow forecast'!M$5=INDEX(Assumptions!$E$159:$E$168,MATCH('Cash flow forecast'!$B182,Assumptions!$A$159:$A$168,0)),'Cash flow forecast'!M$5=INDEX(Assumptions!$F$159:$F$168,MATCH('Cash flow forecast'!$B182,Assumptions!$A$159:$A$168,0))),SUMIFS(Assumptions!$B$159:$B$168,Assumptions!$A$159:$A$168,'Cash flow forecast'!$B182,Assumptions!$D$159:$D$168,"Annual"),0)),"")</f>
        <v>0</v>
      </c>
      <c r="N182" s="223">
        <f>IFERROR(IF(INDEX(Assumptions!$D$159:$D$168,MATCH('Cash flow forecast'!$B182,Assumptions!$A$159:$A$168,0))="Monthly",(SUMIFS(Assumptions!$B$159:$B$168,Assumptions!$A$159:$A$168,'Cash flow forecast'!$B182,Assumptions!$E$159:$E$168,"&lt;="&amp;'Cash flow forecast'!N$5))*(INDEX(Assumptions!$C$159:$C$168,MATCH('Cash flow forecast'!$B182,Assumptions!$A$159:$A$168,0))),IF(OR('Cash flow forecast'!N$5=INDEX(Assumptions!$E$159:$E$168,MATCH('Cash flow forecast'!$B182,Assumptions!$A$159:$A$168,0)),'Cash flow forecast'!N$5=INDEX(Assumptions!$F$159:$F$168,MATCH('Cash flow forecast'!$B182,Assumptions!$A$159:$A$168,0))),SUMIFS(Assumptions!$B$159:$B$168,Assumptions!$A$159:$A$168,'Cash flow forecast'!$B182,Assumptions!$D$159:$D$168,"Annual"),0)),"")</f>
        <v>0</v>
      </c>
      <c r="O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forecast'!O$5))*(INDEX(Assumptions!$C$159:$C$168,MATCH('Cash flow forecast'!$B182,Assumptions!$A$159:$A$168,0))),IF(OR('Cash flow forecast'!O$5=INDEX(Assumptions!$E$159:$E$168,MATCH('Cash flow forecast'!$B182,Assumptions!$A$159:$A$168,0)),'Cash flow forecast'!O$5=INDEX(Assumptions!$F$159:$F$168,MATCH('Cash flow forecast'!$B182,Assumptions!$A$159:$A$168,0))),SUMIFS(Assumptions!$B$159:$B$168,Assumptions!$A$159:$A$168,'Cash flow forecast'!$B182,Assumptions!$D$159:$D$168,"Annual"),0)),"")</f>
        <v>10</v>
      </c>
      <c r="P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forecast'!P$5))*(INDEX(Assumptions!$C$159:$C$168,MATCH('Cash flow forecast'!$B182,Assumptions!$A$159:$A$168,0))),IF(OR('Cash flow forecast'!P$5=INDEX(Assumptions!$E$159:$E$168,MATCH('Cash flow forecast'!$B182,Assumptions!$A$159:$A$168,0)),'Cash flow forecast'!P$5=INDEX(Assumptions!$F$159:$F$168,MATCH('Cash flow forecast'!$B182,Assumptions!$A$159:$A$168,0))),SUMIFS(Assumptions!$B$159:$B$168,Assumptions!$A$159:$A$168,'Cash flow forecast'!$B182,Assumptions!$D$159:$D$168,"Annual"),0)),"")</f>
        <v>0</v>
      </c>
      <c r="Q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forecast'!Q$5))*(INDEX(Assumptions!$C$159:$C$168,MATCH('Cash flow forecast'!$B182,Assumptions!$A$159:$A$168,0))),IF(OR('Cash flow forecast'!Q$5=INDEX(Assumptions!$E$159:$E$168,MATCH('Cash flow forecast'!$B182,Assumptions!$A$159:$A$168,0)),'Cash flow forecast'!Q$5=INDEX(Assumptions!$F$159:$F$168,MATCH('Cash flow forecast'!$B182,Assumptions!$A$159:$A$168,0))),SUMIFS(Assumptions!$B$159:$B$168,Assumptions!$A$159:$A$168,'Cash flow forecast'!$B182,Assumptions!$D$159:$D$168,"Annual"),0)),"")</f>
        <v>0</v>
      </c>
      <c r="R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forecast'!R$5))*(INDEX(Assumptions!$C$159:$C$168,MATCH('Cash flow forecast'!$B182,Assumptions!$A$159:$A$168,0))),IF(OR('Cash flow forecast'!R$5=INDEX(Assumptions!$E$159:$E$168,MATCH('Cash flow forecast'!$B182,Assumptions!$A$159:$A$168,0)),'Cash flow forecast'!R$5=INDEX(Assumptions!$F$159:$F$168,MATCH('Cash flow forecast'!$B182,Assumptions!$A$159:$A$168,0))),SUMIFS(Assumptions!$B$159:$B$168,Assumptions!$A$159:$A$168,'Cash flow forecast'!$B182,Assumptions!$D$159:$D$168,"Annual"),0)),"")</f>
        <v>0</v>
      </c>
      <c r="S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forecast'!S$5))*(INDEX(Assumptions!$C$159:$C$168,MATCH('Cash flow forecast'!$B182,Assumptions!$A$159:$A$168,0))),IF(OR('Cash flow forecast'!S$5=INDEX(Assumptions!$E$159:$E$168,MATCH('Cash flow forecast'!$B182,Assumptions!$A$159:$A$168,0)),'Cash flow forecast'!S$5=INDEX(Assumptions!$F$159:$F$168,MATCH('Cash flow forecast'!$B182,Assumptions!$A$159:$A$168,0))),SUMIFS(Assumptions!$B$159:$B$168,Assumptions!$A$159:$A$168,'Cash flow forecast'!$B182,Assumptions!$D$159:$D$168,"Annual"),0)),"")</f>
        <v>0</v>
      </c>
      <c r="T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forecast'!T$5))*(INDEX(Assumptions!$C$159:$C$168,MATCH('Cash flow forecast'!$B182,Assumptions!$A$159:$A$168,0))),IF(OR('Cash flow forecast'!T$5=INDEX(Assumptions!$E$159:$E$168,MATCH('Cash flow forecast'!$B182,Assumptions!$A$159:$A$168,0)),'Cash flow forecast'!T$5=INDEX(Assumptions!$F$159:$F$168,MATCH('Cash flow forecast'!$B182,Assumptions!$A$159:$A$168,0))),SUMIFS(Assumptions!$B$159:$B$168,Assumptions!$A$159:$A$168,'Cash flow forecast'!$B182,Assumptions!$D$159:$D$168,"Annual"),0)),"")</f>
        <v>0</v>
      </c>
      <c r="U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forecast'!U$5))*(INDEX(Assumptions!$C$159:$C$168,MATCH('Cash flow forecast'!$B182,Assumptions!$A$159:$A$168,0))),IF(OR('Cash flow forecast'!U$5=INDEX(Assumptions!$E$159:$E$168,MATCH('Cash flow forecast'!$B182,Assumptions!$A$159:$A$168,0)),'Cash flow forecast'!U$5=INDEX(Assumptions!$F$159:$F$168,MATCH('Cash flow forecast'!$B182,Assumptions!$A$159:$A$168,0))),SUMIFS(Assumptions!$B$159:$B$168,Assumptions!$A$159:$A$168,'Cash flow forecast'!$B182,Assumptions!$D$159:$D$168,"Annual"),0)),"")</f>
        <v>0</v>
      </c>
      <c r="V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forecast'!V$5))*(INDEX(Assumptions!$C$159:$C$168,MATCH('Cash flow forecast'!$B182,Assumptions!$A$159:$A$168,0))),IF(OR('Cash flow forecast'!V$5=INDEX(Assumptions!$E$159:$E$168,MATCH('Cash flow forecast'!$B182,Assumptions!$A$159:$A$168,0)),'Cash flow forecast'!V$5=INDEX(Assumptions!$F$159:$F$168,MATCH('Cash flow forecast'!$B182,Assumptions!$A$159:$A$168,0))),SUMIFS(Assumptions!$B$159:$B$168,Assumptions!$A$159:$A$168,'Cash flow forecast'!$B182,Assumptions!$D$159:$D$168,"Annual"),0)),"")</f>
        <v>0</v>
      </c>
      <c r="W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forecast'!W$5))*(INDEX(Assumptions!$C$159:$C$168,MATCH('Cash flow forecast'!$B182,Assumptions!$A$159:$A$168,0))),IF(OR('Cash flow forecast'!W$5=INDEX(Assumptions!$E$159:$E$168,MATCH('Cash flow forecast'!$B182,Assumptions!$A$159:$A$168,0)),'Cash flow forecast'!W$5=INDEX(Assumptions!$F$159:$F$168,MATCH('Cash flow forecast'!$B182,Assumptions!$A$159:$A$168,0))),SUMIFS(Assumptions!$B$159:$B$168,Assumptions!$A$159:$A$168,'Cash flow forecast'!$B182,Assumptions!$D$159:$D$168,"Annual"),0)),"")</f>
        <v>0</v>
      </c>
      <c r="X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forecast'!X$5))*(INDEX(Assumptions!$C$159:$C$168,MATCH('Cash flow forecast'!$B182,Assumptions!$A$159:$A$168,0))),IF(OR('Cash flow forecast'!X$5=INDEX(Assumptions!$E$159:$E$168,MATCH('Cash flow forecast'!$B182,Assumptions!$A$159:$A$168,0)),'Cash flow forecast'!X$5=INDEX(Assumptions!$F$159:$F$168,MATCH('Cash flow forecast'!$B182,Assumptions!$A$159:$A$168,0))),SUMIFS(Assumptions!$B$159:$B$168,Assumptions!$A$159:$A$168,'Cash flow forecast'!$B182,Assumptions!$D$159:$D$168,"Annual"),0)),"")</f>
        <v>0</v>
      </c>
      <c r="Y182" s="222">
        <f>IFERROR(IF(INDEX(Assumptions!$D$159:$D$168,MATCH('Cash flow forecast'!$B182,Assumptions!$A$159:$A$168,0))="Monthly",(SUMIFS(Assumptions!$B$159:$B$168,Assumptions!$A$159:$A$168,'Cash flow forecast'!$B182,Assumptions!$E$159:$E$168,"&lt;="&amp;'Cash flow forecast'!Y$5))*(INDEX(Assumptions!$C$159:$C$168,MATCH('Cash flow forecast'!$B182,Assumptions!$A$159:$A$168,0))),IF(OR('Cash flow forecast'!Y$5=INDEX(Assumptions!$E$159:$E$168,MATCH('Cash flow forecast'!$B182,Assumptions!$A$159:$A$168,0)),'Cash flow forecast'!Y$5=INDEX(Assumptions!$F$159:$F$168,MATCH('Cash flow forecast'!$B182,Assumptions!$A$159:$A$168,0))),SUMIFS(Assumptions!$B$159:$B$168,Assumptions!$A$159:$A$168,'Cash flow forecast'!$B182,Assumptions!$D$159:$D$168,"Annual"),0)),"")</f>
        <v>0</v>
      </c>
      <c r="Z182" s="223">
        <f>IFERROR(IF(INDEX(Assumptions!$D$159:$D$168,MATCH('Cash flow forecast'!$B182,Assumptions!$A$159:$A$168,0))="Monthly",(SUMIFS(Assumptions!$B$159:$B$168,Assumptions!$A$159:$A$168,'Cash flow forecast'!$B182,Assumptions!$E$159:$E$168,"&lt;="&amp;'Cash flow forecast'!Z$5))*(INDEX(Assumptions!$C$159:$C$168,MATCH('Cash flow forecast'!$B182,Assumptions!$A$159:$A$168,0))),IF(OR('Cash flow forecast'!Z$5=INDEX(Assumptions!$E$159:$E$168,MATCH('Cash flow forecast'!$B182,Assumptions!$A$159:$A$168,0)),'Cash flow forecast'!Z$5=INDEX(Assumptions!$F$159:$F$168,MATCH('Cash flow forecast'!$B182,Assumptions!$A$159:$A$168,0))),SUMIFS(Assumptions!$B$159:$B$168,Assumptions!$A$159:$A$168,'Cash flow forecast'!$B182,Assumptions!$D$159:$D$168,"Annual"),0)),"")</f>
        <v>0</v>
      </c>
      <c r="AA182" s="221">
        <f t="shared" si="180"/>
        <v>10</v>
      </c>
      <c r="AB182" s="222">
        <f t="shared" si="180"/>
        <v>0</v>
      </c>
      <c r="AC182" s="222">
        <f t="shared" si="180"/>
        <v>0</v>
      </c>
      <c r="AD182" s="222">
        <f t="shared" si="180"/>
        <v>0</v>
      </c>
      <c r="AE182" s="225">
        <f t="shared" si="173"/>
        <v>10</v>
      </c>
      <c r="AF182" s="221">
        <f t="shared" si="176"/>
        <v>10</v>
      </c>
      <c r="AG182" s="222">
        <f t="shared" si="181"/>
        <v>0</v>
      </c>
      <c r="AH182" s="222">
        <f t="shared" si="181"/>
        <v>0</v>
      </c>
      <c r="AI182" s="223">
        <f t="shared" si="181"/>
        <v>0</v>
      </c>
      <c r="AJ182" s="225">
        <f t="shared" si="177"/>
        <v>10</v>
      </c>
      <c r="AK182" s="243">
        <f t="shared" si="182"/>
        <v>1.9562831491364504E-5</v>
      </c>
    </row>
    <row r="183" spans="2:37" ht="22.15" hidden="1" customHeight="1" outlineLevel="1" x14ac:dyDescent="0.25">
      <c r="B183" s="91" t="str">
        <f>Assumptions!A161</f>
        <v>Test 3</v>
      </c>
      <c r="C183" s="221">
        <f>IFERROR(IF(INDEX(Assumptions!$D$159:$D$168,MATCH('Cash flow forecast'!$B183,Assumptions!$A$159:$A$168,0))="Monthly",(SUMIFS(Assumptions!$B$159:$B$168,Assumptions!$A$159:$A$168,'Cash flow forecast'!$B183,Assumptions!$E$159:$E$168,"&lt;="&amp;'Cash flow forecast'!C$5))*(INDEX(Assumptions!$C$159:$C$168,MATCH('Cash flow forecast'!$B183,Assumptions!$A$159:$A$168,0))),IF(OR('Cash flow forecast'!C$5=INDEX(Assumptions!$E$159:$E$168,MATCH('Cash flow forecast'!$B183,Assumptions!$A$159:$A$168,0)),'Cash flow forecast'!C$5=INDEX(Assumptions!$F$159:$F$168,MATCH('Cash flow forecast'!$B183,Assumptions!$A$159:$A$168,0))),SUMIFS(Assumptions!$B$159:$B$168,Assumptions!$A$159:$A$168,'Cash flow forecast'!$B183,Assumptions!$D$159:$D$168,"Annual"),0)),"")</f>
        <v>10</v>
      </c>
      <c r="D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forecast'!D$5))*(INDEX(Assumptions!$C$159:$C$168,MATCH('Cash flow forecast'!$B183,Assumptions!$A$159:$A$168,0))),IF(OR('Cash flow forecast'!D$5=INDEX(Assumptions!$E$159:$E$168,MATCH('Cash flow forecast'!$B183,Assumptions!$A$159:$A$168,0)),'Cash flow forecast'!D$5=INDEX(Assumptions!$F$159:$F$168,MATCH('Cash flow forecast'!$B183,Assumptions!$A$159:$A$168,0))),SUMIFS(Assumptions!$B$159:$B$168,Assumptions!$A$159:$A$168,'Cash flow forecast'!$B183,Assumptions!$D$159:$D$168,"Annual"),0)),"")</f>
        <v>0</v>
      </c>
      <c r="E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forecast'!E$5))*(INDEX(Assumptions!$C$159:$C$168,MATCH('Cash flow forecast'!$B183,Assumptions!$A$159:$A$168,0))),IF(OR('Cash flow forecast'!E$5=INDEX(Assumptions!$E$159:$E$168,MATCH('Cash flow forecast'!$B183,Assumptions!$A$159:$A$168,0)),'Cash flow forecast'!E$5=INDEX(Assumptions!$F$159:$F$168,MATCH('Cash flow forecast'!$B183,Assumptions!$A$159:$A$168,0))),SUMIFS(Assumptions!$B$159:$B$168,Assumptions!$A$159:$A$168,'Cash flow forecast'!$B183,Assumptions!$D$159:$D$168,"Annual"),0)),"")</f>
        <v>0</v>
      </c>
      <c r="F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forecast'!F$5))*(INDEX(Assumptions!$C$159:$C$168,MATCH('Cash flow forecast'!$B183,Assumptions!$A$159:$A$168,0))),IF(OR('Cash flow forecast'!F$5=INDEX(Assumptions!$E$159:$E$168,MATCH('Cash flow forecast'!$B183,Assumptions!$A$159:$A$168,0)),'Cash flow forecast'!F$5=INDEX(Assumptions!$F$159:$F$168,MATCH('Cash flow forecast'!$B183,Assumptions!$A$159:$A$168,0))),SUMIFS(Assumptions!$B$159:$B$168,Assumptions!$A$159:$A$168,'Cash flow forecast'!$B183,Assumptions!$D$159:$D$168,"Annual"),0)),"")</f>
        <v>0</v>
      </c>
      <c r="G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forecast'!G$5))*(INDEX(Assumptions!$C$159:$C$168,MATCH('Cash flow forecast'!$B183,Assumptions!$A$159:$A$168,0))),IF(OR('Cash flow forecast'!G$5=INDEX(Assumptions!$E$159:$E$168,MATCH('Cash flow forecast'!$B183,Assumptions!$A$159:$A$168,0)),'Cash flow forecast'!G$5=INDEX(Assumptions!$F$159:$F$168,MATCH('Cash flow forecast'!$B183,Assumptions!$A$159:$A$168,0))),SUMIFS(Assumptions!$B$159:$B$168,Assumptions!$A$159:$A$168,'Cash flow forecast'!$B183,Assumptions!$D$159:$D$168,"Annual"),0)),"")</f>
        <v>0</v>
      </c>
      <c r="H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forecast'!H$5))*(INDEX(Assumptions!$C$159:$C$168,MATCH('Cash flow forecast'!$B183,Assumptions!$A$159:$A$168,0))),IF(OR('Cash flow forecast'!H$5=INDEX(Assumptions!$E$159:$E$168,MATCH('Cash flow forecast'!$B183,Assumptions!$A$159:$A$168,0)),'Cash flow forecast'!H$5=INDEX(Assumptions!$F$159:$F$168,MATCH('Cash flow forecast'!$B183,Assumptions!$A$159:$A$168,0))),SUMIFS(Assumptions!$B$159:$B$168,Assumptions!$A$159:$A$168,'Cash flow forecast'!$B183,Assumptions!$D$159:$D$168,"Annual"),0)),"")</f>
        <v>0</v>
      </c>
      <c r="I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forecast'!I$5))*(INDEX(Assumptions!$C$159:$C$168,MATCH('Cash flow forecast'!$B183,Assumptions!$A$159:$A$168,0))),IF(OR('Cash flow forecast'!I$5=INDEX(Assumptions!$E$159:$E$168,MATCH('Cash flow forecast'!$B183,Assumptions!$A$159:$A$168,0)),'Cash flow forecast'!I$5=INDEX(Assumptions!$F$159:$F$168,MATCH('Cash flow forecast'!$B183,Assumptions!$A$159:$A$168,0))),SUMIFS(Assumptions!$B$159:$B$168,Assumptions!$A$159:$A$168,'Cash flow forecast'!$B183,Assumptions!$D$159:$D$168,"Annual"),0)),"")</f>
        <v>0</v>
      </c>
      <c r="J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forecast'!J$5))*(INDEX(Assumptions!$C$159:$C$168,MATCH('Cash flow forecast'!$B183,Assumptions!$A$159:$A$168,0))),IF(OR('Cash flow forecast'!J$5=INDEX(Assumptions!$E$159:$E$168,MATCH('Cash flow forecast'!$B183,Assumptions!$A$159:$A$168,0)),'Cash flow forecast'!J$5=INDEX(Assumptions!$F$159:$F$168,MATCH('Cash flow forecast'!$B183,Assumptions!$A$159:$A$168,0))),SUMIFS(Assumptions!$B$159:$B$168,Assumptions!$A$159:$A$168,'Cash flow forecast'!$B183,Assumptions!$D$159:$D$168,"Annual"),0)),"")</f>
        <v>0</v>
      </c>
      <c r="K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forecast'!K$5))*(INDEX(Assumptions!$C$159:$C$168,MATCH('Cash flow forecast'!$B183,Assumptions!$A$159:$A$168,0))),IF(OR('Cash flow forecast'!K$5=INDEX(Assumptions!$E$159:$E$168,MATCH('Cash flow forecast'!$B183,Assumptions!$A$159:$A$168,0)),'Cash flow forecast'!K$5=INDEX(Assumptions!$F$159:$F$168,MATCH('Cash flow forecast'!$B183,Assumptions!$A$159:$A$168,0))),SUMIFS(Assumptions!$B$159:$B$168,Assumptions!$A$159:$A$168,'Cash flow forecast'!$B183,Assumptions!$D$159:$D$168,"Annual"),0)),"")</f>
        <v>0</v>
      </c>
      <c r="L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forecast'!L$5))*(INDEX(Assumptions!$C$159:$C$168,MATCH('Cash flow forecast'!$B183,Assumptions!$A$159:$A$168,0))),IF(OR('Cash flow forecast'!L$5=INDEX(Assumptions!$E$159:$E$168,MATCH('Cash flow forecast'!$B183,Assumptions!$A$159:$A$168,0)),'Cash flow forecast'!L$5=INDEX(Assumptions!$F$159:$F$168,MATCH('Cash flow forecast'!$B183,Assumptions!$A$159:$A$168,0))),SUMIFS(Assumptions!$B$159:$B$168,Assumptions!$A$159:$A$168,'Cash flow forecast'!$B183,Assumptions!$D$159:$D$168,"Annual"),0)),"")</f>
        <v>0</v>
      </c>
      <c r="M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forecast'!M$5))*(INDEX(Assumptions!$C$159:$C$168,MATCH('Cash flow forecast'!$B183,Assumptions!$A$159:$A$168,0))),IF(OR('Cash flow forecast'!M$5=INDEX(Assumptions!$E$159:$E$168,MATCH('Cash flow forecast'!$B183,Assumptions!$A$159:$A$168,0)),'Cash flow forecast'!M$5=INDEX(Assumptions!$F$159:$F$168,MATCH('Cash flow forecast'!$B183,Assumptions!$A$159:$A$168,0))),SUMIFS(Assumptions!$B$159:$B$168,Assumptions!$A$159:$A$168,'Cash flow forecast'!$B183,Assumptions!$D$159:$D$168,"Annual"),0)),"")</f>
        <v>0</v>
      </c>
      <c r="N183" s="223">
        <f>IFERROR(IF(INDEX(Assumptions!$D$159:$D$168,MATCH('Cash flow forecast'!$B183,Assumptions!$A$159:$A$168,0))="Monthly",(SUMIFS(Assumptions!$B$159:$B$168,Assumptions!$A$159:$A$168,'Cash flow forecast'!$B183,Assumptions!$E$159:$E$168,"&lt;="&amp;'Cash flow forecast'!N$5))*(INDEX(Assumptions!$C$159:$C$168,MATCH('Cash flow forecast'!$B183,Assumptions!$A$159:$A$168,0))),IF(OR('Cash flow forecast'!N$5=INDEX(Assumptions!$E$159:$E$168,MATCH('Cash flow forecast'!$B183,Assumptions!$A$159:$A$168,0)),'Cash flow forecast'!N$5=INDEX(Assumptions!$F$159:$F$168,MATCH('Cash flow forecast'!$B183,Assumptions!$A$159:$A$168,0))),SUMIFS(Assumptions!$B$159:$B$168,Assumptions!$A$159:$A$168,'Cash flow forecast'!$B183,Assumptions!$D$159:$D$168,"Annual"),0)),"")</f>
        <v>0</v>
      </c>
      <c r="O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forecast'!O$5))*(INDEX(Assumptions!$C$159:$C$168,MATCH('Cash flow forecast'!$B183,Assumptions!$A$159:$A$168,0))),IF(OR('Cash flow forecast'!O$5=INDEX(Assumptions!$E$159:$E$168,MATCH('Cash flow forecast'!$B183,Assumptions!$A$159:$A$168,0)),'Cash flow forecast'!O$5=INDEX(Assumptions!$F$159:$F$168,MATCH('Cash flow forecast'!$B183,Assumptions!$A$159:$A$168,0))),SUMIFS(Assumptions!$B$159:$B$168,Assumptions!$A$159:$A$168,'Cash flow forecast'!$B183,Assumptions!$D$159:$D$168,"Annual"),0)),"")</f>
        <v>10</v>
      </c>
      <c r="P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forecast'!P$5))*(INDEX(Assumptions!$C$159:$C$168,MATCH('Cash flow forecast'!$B183,Assumptions!$A$159:$A$168,0))),IF(OR('Cash flow forecast'!P$5=INDEX(Assumptions!$E$159:$E$168,MATCH('Cash flow forecast'!$B183,Assumptions!$A$159:$A$168,0)),'Cash flow forecast'!P$5=INDEX(Assumptions!$F$159:$F$168,MATCH('Cash flow forecast'!$B183,Assumptions!$A$159:$A$168,0))),SUMIFS(Assumptions!$B$159:$B$168,Assumptions!$A$159:$A$168,'Cash flow forecast'!$B183,Assumptions!$D$159:$D$168,"Annual"),0)),"")</f>
        <v>0</v>
      </c>
      <c r="Q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forecast'!Q$5))*(INDEX(Assumptions!$C$159:$C$168,MATCH('Cash flow forecast'!$B183,Assumptions!$A$159:$A$168,0))),IF(OR('Cash flow forecast'!Q$5=INDEX(Assumptions!$E$159:$E$168,MATCH('Cash flow forecast'!$B183,Assumptions!$A$159:$A$168,0)),'Cash flow forecast'!Q$5=INDEX(Assumptions!$F$159:$F$168,MATCH('Cash flow forecast'!$B183,Assumptions!$A$159:$A$168,0))),SUMIFS(Assumptions!$B$159:$B$168,Assumptions!$A$159:$A$168,'Cash flow forecast'!$B183,Assumptions!$D$159:$D$168,"Annual"),0)),"")</f>
        <v>0</v>
      </c>
      <c r="R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forecast'!R$5))*(INDEX(Assumptions!$C$159:$C$168,MATCH('Cash flow forecast'!$B183,Assumptions!$A$159:$A$168,0))),IF(OR('Cash flow forecast'!R$5=INDEX(Assumptions!$E$159:$E$168,MATCH('Cash flow forecast'!$B183,Assumptions!$A$159:$A$168,0)),'Cash flow forecast'!R$5=INDEX(Assumptions!$F$159:$F$168,MATCH('Cash flow forecast'!$B183,Assumptions!$A$159:$A$168,0))),SUMIFS(Assumptions!$B$159:$B$168,Assumptions!$A$159:$A$168,'Cash flow forecast'!$B183,Assumptions!$D$159:$D$168,"Annual"),0)),"")</f>
        <v>0</v>
      </c>
      <c r="S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forecast'!S$5))*(INDEX(Assumptions!$C$159:$C$168,MATCH('Cash flow forecast'!$B183,Assumptions!$A$159:$A$168,0))),IF(OR('Cash flow forecast'!S$5=INDEX(Assumptions!$E$159:$E$168,MATCH('Cash flow forecast'!$B183,Assumptions!$A$159:$A$168,0)),'Cash flow forecast'!S$5=INDEX(Assumptions!$F$159:$F$168,MATCH('Cash flow forecast'!$B183,Assumptions!$A$159:$A$168,0))),SUMIFS(Assumptions!$B$159:$B$168,Assumptions!$A$159:$A$168,'Cash flow forecast'!$B183,Assumptions!$D$159:$D$168,"Annual"),0)),"")</f>
        <v>0</v>
      </c>
      <c r="T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forecast'!T$5))*(INDEX(Assumptions!$C$159:$C$168,MATCH('Cash flow forecast'!$B183,Assumptions!$A$159:$A$168,0))),IF(OR('Cash flow forecast'!T$5=INDEX(Assumptions!$E$159:$E$168,MATCH('Cash flow forecast'!$B183,Assumptions!$A$159:$A$168,0)),'Cash flow forecast'!T$5=INDEX(Assumptions!$F$159:$F$168,MATCH('Cash flow forecast'!$B183,Assumptions!$A$159:$A$168,0))),SUMIFS(Assumptions!$B$159:$B$168,Assumptions!$A$159:$A$168,'Cash flow forecast'!$B183,Assumptions!$D$159:$D$168,"Annual"),0)),"")</f>
        <v>0</v>
      </c>
      <c r="U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forecast'!U$5))*(INDEX(Assumptions!$C$159:$C$168,MATCH('Cash flow forecast'!$B183,Assumptions!$A$159:$A$168,0))),IF(OR('Cash flow forecast'!U$5=INDEX(Assumptions!$E$159:$E$168,MATCH('Cash flow forecast'!$B183,Assumptions!$A$159:$A$168,0)),'Cash flow forecast'!U$5=INDEX(Assumptions!$F$159:$F$168,MATCH('Cash flow forecast'!$B183,Assumptions!$A$159:$A$168,0))),SUMIFS(Assumptions!$B$159:$B$168,Assumptions!$A$159:$A$168,'Cash flow forecast'!$B183,Assumptions!$D$159:$D$168,"Annual"),0)),"")</f>
        <v>0</v>
      </c>
      <c r="V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forecast'!V$5))*(INDEX(Assumptions!$C$159:$C$168,MATCH('Cash flow forecast'!$B183,Assumptions!$A$159:$A$168,0))),IF(OR('Cash flow forecast'!V$5=INDEX(Assumptions!$E$159:$E$168,MATCH('Cash flow forecast'!$B183,Assumptions!$A$159:$A$168,0)),'Cash flow forecast'!V$5=INDEX(Assumptions!$F$159:$F$168,MATCH('Cash flow forecast'!$B183,Assumptions!$A$159:$A$168,0))),SUMIFS(Assumptions!$B$159:$B$168,Assumptions!$A$159:$A$168,'Cash flow forecast'!$B183,Assumptions!$D$159:$D$168,"Annual"),0)),"")</f>
        <v>0</v>
      </c>
      <c r="W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forecast'!W$5))*(INDEX(Assumptions!$C$159:$C$168,MATCH('Cash flow forecast'!$B183,Assumptions!$A$159:$A$168,0))),IF(OR('Cash flow forecast'!W$5=INDEX(Assumptions!$E$159:$E$168,MATCH('Cash flow forecast'!$B183,Assumptions!$A$159:$A$168,0)),'Cash flow forecast'!W$5=INDEX(Assumptions!$F$159:$F$168,MATCH('Cash flow forecast'!$B183,Assumptions!$A$159:$A$168,0))),SUMIFS(Assumptions!$B$159:$B$168,Assumptions!$A$159:$A$168,'Cash flow forecast'!$B183,Assumptions!$D$159:$D$168,"Annual"),0)),"")</f>
        <v>0</v>
      </c>
      <c r="X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forecast'!X$5))*(INDEX(Assumptions!$C$159:$C$168,MATCH('Cash flow forecast'!$B183,Assumptions!$A$159:$A$168,0))),IF(OR('Cash flow forecast'!X$5=INDEX(Assumptions!$E$159:$E$168,MATCH('Cash flow forecast'!$B183,Assumptions!$A$159:$A$168,0)),'Cash flow forecast'!X$5=INDEX(Assumptions!$F$159:$F$168,MATCH('Cash flow forecast'!$B183,Assumptions!$A$159:$A$168,0))),SUMIFS(Assumptions!$B$159:$B$168,Assumptions!$A$159:$A$168,'Cash flow forecast'!$B183,Assumptions!$D$159:$D$168,"Annual"),0)),"")</f>
        <v>0</v>
      </c>
      <c r="Y183" s="222">
        <f>IFERROR(IF(INDEX(Assumptions!$D$159:$D$168,MATCH('Cash flow forecast'!$B183,Assumptions!$A$159:$A$168,0))="Monthly",(SUMIFS(Assumptions!$B$159:$B$168,Assumptions!$A$159:$A$168,'Cash flow forecast'!$B183,Assumptions!$E$159:$E$168,"&lt;="&amp;'Cash flow forecast'!Y$5))*(INDEX(Assumptions!$C$159:$C$168,MATCH('Cash flow forecast'!$B183,Assumptions!$A$159:$A$168,0))),IF(OR('Cash flow forecast'!Y$5=INDEX(Assumptions!$E$159:$E$168,MATCH('Cash flow forecast'!$B183,Assumptions!$A$159:$A$168,0)),'Cash flow forecast'!Y$5=INDEX(Assumptions!$F$159:$F$168,MATCH('Cash flow forecast'!$B183,Assumptions!$A$159:$A$168,0))),SUMIFS(Assumptions!$B$159:$B$168,Assumptions!$A$159:$A$168,'Cash flow forecast'!$B183,Assumptions!$D$159:$D$168,"Annual"),0)),"")</f>
        <v>0</v>
      </c>
      <c r="Z183" s="223">
        <f>IFERROR(IF(INDEX(Assumptions!$D$159:$D$168,MATCH('Cash flow forecast'!$B183,Assumptions!$A$159:$A$168,0))="Monthly",(SUMIFS(Assumptions!$B$159:$B$168,Assumptions!$A$159:$A$168,'Cash flow forecast'!$B183,Assumptions!$E$159:$E$168,"&lt;="&amp;'Cash flow forecast'!Z$5))*(INDEX(Assumptions!$C$159:$C$168,MATCH('Cash flow forecast'!$B183,Assumptions!$A$159:$A$168,0))),IF(OR('Cash flow forecast'!Z$5=INDEX(Assumptions!$E$159:$E$168,MATCH('Cash flow forecast'!$B183,Assumptions!$A$159:$A$168,0)),'Cash flow forecast'!Z$5=INDEX(Assumptions!$F$159:$F$168,MATCH('Cash flow forecast'!$B183,Assumptions!$A$159:$A$168,0))),SUMIFS(Assumptions!$B$159:$B$168,Assumptions!$A$159:$A$168,'Cash flow forecast'!$B183,Assumptions!$D$159:$D$168,"Annual"),0)),"")</f>
        <v>0</v>
      </c>
      <c r="AA183" s="221">
        <f t="shared" si="180"/>
        <v>10</v>
      </c>
      <c r="AB183" s="222">
        <f t="shared" si="180"/>
        <v>0</v>
      </c>
      <c r="AC183" s="222">
        <f t="shared" si="180"/>
        <v>0</v>
      </c>
      <c r="AD183" s="222">
        <f t="shared" si="180"/>
        <v>0</v>
      </c>
      <c r="AE183" s="225">
        <f t="shared" si="173"/>
        <v>10</v>
      </c>
      <c r="AF183" s="221">
        <f t="shared" si="176"/>
        <v>10</v>
      </c>
      <c r="AG183" s="222">
        <f t="shared" si="181"/>
        <v>0</v>
      </c>
      <c r="AH183" s="222">
        <f t="shared" si="181"/>
        <v>0</v>
      </c>
      <c r="AI183" s="223">
        <f t="shared" si="181"/>
        <v>0</v>
      </c>
      <c r="AJ183" s="225">
        <f t="shared" si="177"/>
        <v>10</v>
      </c>
      <c r="AK183" s="243">
        <f t="shared" si="182"/>
        <v>1.9562831491364504E-5</v>
      </c>
    </row>
    <row r="184" spans="2:37" ht="22.15" hidden="1" customHeight="1" outlineLevel="1" x14ac:dyDescent="0.25">
      <c r="B184" s="91" t="str">
        <f>Assumptions!A162</f>
        <v>Test 4</v>
      </c>
      <c r="C184" s="221">
        <f>IFERROR(IF(INDEX(Assumptions!$D$159:$D$168,MATCH('Cash flow forecast'!$B184,Assumptions!$A$159:$A$168,0))="Monthly",(SUMIFS(Assumptions!$B$159:$B$168,Assumptions!$A$159:$A$168,'Cash flow forecast'!$B184,Assumptions!$E$159:$E$168,"&lt;="&amp;'Cash flow forecast'!C$5))*(INDEX(Assumptions!$C$159:$C$168,MATCH('Cash flow forecast'!$B184,Assumptions!$A$159:$A$168,0))),IF(OR('Cash flow forecast'!C$5=INDEX(Assumptions!$E$159:$E$168,MATCH('Cash flow forecast'!$B184,Assumptions!$A$159:$A$168,0)),'Cash flow forecast'!C$5=INDEX(Assumptions!$F$159:$F$168,MATCH('Cash flow forecast'!$B184,Assumptions!$A$159:$A$168,0))),SUMIFS(Assumptions!$B$159:$B$168,Assumptions!$A$159:$A$168,'Cash flow forecast'!$B184,Assumptions!$D$159:$D$168,"Annual"),0)),"")</f>
        <v>40</v>
      </c>
      <c r="D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forecast'!D$5))*(INDEX(Assumptions!$C$159:$C$168,MATCH('Cash flow forecast'!$B184,Assumptions!$A$159:$A$168,0))),IF(OR('Cash flow forecast'!D$5=INDEX(Assumptions!$E$159:$E$168,MATCH('Cash flow forecast'!$B184,Assumptions!$A$159:$A$168,0)),'Cash flow forecast'!D$5=INDEX(Assumptions!$F$159:$F$168,MATCH('Cash flow forecast'!$B184,Assumptions!$A$159:$A$168,0))),SUMIFS(Assumptions!$B$159:$B$168,Assumptions!$A$159:$A$168,'Cash flow forecast'!$B184,Assumptions!$D$159:$D$168,"Annual"),0)),"")</f>
        <v>40</v>
      </c>
      <c r="E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forecast'!E$5))*(INDEX(Assumptions!$C$159:$C$168,MATCH('Cash flow forecast'!$B184,Assumptions!$A$159:$A$168,0))),IF(OR('Cash flow forecast'!E$5=INDEX(Assumptions!$E$159:$E$168,MATCH('Cash flow forecast'!$B184,Assumptions!$A$159:$A$168,0)),'Cash flow forecast'!E$5=INDEX(Assumptions!$F$159:$F$168,MATCH('Cash flow forecast'!$B184,Assumptions!$A$159:$A$168,0))),SUMIFS(Assumptions!$B$159:$B$168,Assumptions!$A$159:$A$168,'Cash flow forecast'!$B184,Assumptions!$D$159:$D$168,"Annual"),0)),"")</f>
        <v>40</v>
      </c>
      <c r="F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forecast'!F$5))*(INDEX(Assumptions!$C$159:$C$168,MATCH('Cash flow forecast'!$B184,Assumptions!$A$159:$A$168,0))),IF(OR('Cash flow forecast'!F$5=INDEX(Assumptions!$E$159:$E$168,MATCH('Cash flow forecast'!$B184,Assumptions!$A$159:$A$168,0)),'Cash flow forecast'!F$5=INDEX(Assumptions!$F$159:$F$168,MATCH('Cash flow forecast'!$B184,Assumptions!$A$159:$A$168,0))),SUMIFS(Assumptions!$B$159:$B$168,Assumptions!$A$159:$A$168,'Cash flow forecast'!$B184,Assumptions!$D$159:$D$168,"Annual"),0)),"")</f>
        <v>40</v>
      </c>
      <c r="G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forecast'!G$5))*(INDEX(Assumptions!$C$159:$C$168,MATCH('Cash flow forecast'!$B184,Assumptions!$A$159:$A$168,0))),IF(OR('Cash flow forecast'!G$5=INDEX(Assumptions!$E$159:$E$168,MATCH('Cash flow forecast'!$B184,Assumptions!$A$159:$A$168,0)),'Cash flow forecast'!G$5=INDEX(Assumptions!$F$159:$F$168,MATCH('Cash flow forecast'!$B184,Assumptions!$A$159:$A$168,0))),SUMIFS(Assumptions!$B$159:$B$168,Assumptions!$A$159:$A$168,'Cash flow forecast'!$B184,Assumptions!$D$159:$D$168,"Annual"),0)),"")</f>
        <v>40</v>
      </c>
      <c r="H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forecast'!H$5))*(INDEX(Assumptions!$C$159:$C$168,MATCH('Cash flow forecast'!$B184,Assumptions!$A$159:$A$168,0))),IF(OR('Cash flow forecast'!H$5=INDEX(Assumptions!$E$159:$E$168,MATCH('Cash flow forecast'!$B184,Assumptions!$A$159:$A$168,0)),'Cash flow forecast'!H$5=INDEX(Assumptions!$F$159:$F$168,MATCH('Cash flow forecast'!$B184,Assumptions!$A$159:$A$168,0))),SUMIFS(Assumptions!$B$159:$B$168,Assumptions!$A$159:$A$168,'Cash flow forecast'!$B184,Assumptions!$D$159:$D$168,"Annual"),0)),"")</f>
        <v>40</v>
      </c>
      <c r="I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forecast'!I$5))*(INDEX(Assumptions!$C$159:$C$168,MATCH('Cash flow forecast'!$B184,Assumptions!$A$159:$A$168,0))),IF(OR('Cash flow forecast'!I$5=INDEX(Assumptions!$E$159:$E$168,MATCH('Cash flow forecast'!$B184,Assumptions!$A$159:$A$168,0)),'Cash flow forecast'!I$5=INDEX(Assumptions!$F$159:$F$168,MATCH('Cash flow forecast'!$B184,Assumptions!$A$159:$A$168,0))),SUMIFS(Assumptions!$B$159:$B$168,Assumptions!$A$159:$A$168,'Cash flow forecast'!$B184,Assumptions!$D$159:$D$168,"Annual"),0)),"")</f>
        <v>40</v>
      </c>
      <c r="J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forecast'!J$5))*(INDEX(Assumptions!$C$159:$C$168,MATCH('Cash flow forecast'!$B184,Assumptions!$A$159:$A$168,0))),IF(OR('Cash flow forecast'!J$5=INDEX(Assumptions!$E$159:$E$168,MATCH('Cash flow forecast'!$B184,Assumptions!$A$159:$A$168,0)),'Cash flow forecast'!J$5=INDEX(Assumptions!$F$159:$F$168,MATCH('Cash flow forecast'!$B184,Assumptions!$A$159:$A$168,0))),SUMIFS(Assumptions!$B$159:$B$168,Assumptions!$A$159:$A$168,'Cash flow forecast'!$B184,Assumptions!$D$159:$D$168,"Annual"),0)),"")</f>
        <v>40</v>
      </c>
      <c r="K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forecast'!K$5))*(INDEX(Assumptions!$C$159:$C$168,MATCH('Cash flow forecast'!$B184,Assumptions!$A$159:$A$168,0))),IF(OR('Cash flow forecast'!K$5=INDEX(Assumptions!$E$159:$E$168,MATCH('Cash flow forecast'!$B184,Assumptions!$A$159:$A$168,0)),'Cash flow forecast'!K$5=INDEX(Assumptions!$F$159:$F$168,MATCH('Cash flow forecast'!$B184,Assumptions!$A$159:$A$168,0))),SUMIFS(Assumptions!$B$159:$B$168,Assumptions!$A$159:$A$168,'Cash flow forecast'!$B184,Assumptions!$D$159:$D$168,"Annual"),0)),"")</f>
        <v>40</v>
      </c>
      <c r="L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forecast'!L$5))*(INDEX(Assumptions!$C$159:$C$168,MATCH('Cash flow forecast'!$B184,Assumptions!$A$159:$A$168,0))),IF(OR('Cash flow forecast'!L$5=INDEX(Assumptions!$E$159:$E$168,MATCH('Cash flow forecast'!$B184,Assumptions!$A$159:$A$168,0)),'Cash flow forecast'!L$5=INDEX(Assumptions!$F$159:$F$168,MATCH('Cash flow forecast'!$B184,Assumptions!$A$159:$A$168,0))),SUMIFS(Assumptions!$B$159:$B$168,Assumptions!$A$159:$A$168,'Cash flow forecast'!$B184,Assumptions!$D$159:$D$168,"Annual"),0)),"")</f>
        <v>40</v>
      </c>
      <c r="M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forecast'!M$5))*(INDEX(Assumptions!$C$159:$C$168,MATCH('Cash flow forecast'!$B184,Assumptions!$A$159:$A$168,0))),IF(OR('Cash flow forecast'!M$5=INDEX(Assumptions!$E$159:$E$168,MATCH('Cash flow forecast'!$B184,Assumptions!$A$159:$A$168,0)),'Cash flow forecast'!M$5=INDEX(Assumptions!$F$159:$F$168,MATCH('Cash flow forecast'!$B184,Assumptions!$A$159:$A$168,0))),SUMIFS(Assumptions!$B$159:$B$168,Assumptions!$A$159:$A$168,'Cash flow forecast'!$B184,Assumptions!$D$159:$D$168,"Annual"),0)),"")</f>
        <v>40</v>
      </c>
      <c r="N184" s="223">
        <f>IFERROR(IF(INDEX(Assumptions!$D$159:$D$168,MATCH('Cash flow forecast'!$B184,Assumptions!$A$159:$A$168,0))="Monthly",(SUMIFS(Assumptions!$B$159:$B$168,Assumptions!$A$159:$A$168,'Cash flow forecast'!$B184,Assumptions!$E$159:$E$168,"&lt;="&amp;'Cash flow forecast'!N$5))*(INDEX(Assumptions!$C$159:$C$168,MATCH('Cash flow forecast'!$B184,Assumptions!$A$159:$A$168,0))),IF(OR('Cash flow forecast'!N$5=INDEX(Assumptions!$E$159:$E$168,MATCH('Cash flow forecast'!$B184,Assumptions!$A$159:$A$168,0)),'Cash flow forecast'!N$5=INDEX(Assumptions!$F$159:$F$168,MATCH('Cash flow forecast'!$B184,Assumptions!$A$159:$A$168,0))),SUMIFS(Assumptions!$B$159:$B$168,Assumptions!$A$159:$A$168,'Cash flow forecast'!$B184,Assumptions!$D$159:$D$168,"Annual"),0)),"")</f>
        <v>40</v>
      </c>
      <c r="O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forecast'!O$5))*(INDEX(Assumptions!$C$159:$C$168,MATCH('Cash flow forecast'!$B184,Assumptions!$A$159:$A$168,0))),IF(OR('Cash flow forecast'!O$5=INDEX(Assumptions!$E$159:$E$168,MATCH('Cash flow forecast'!$B184,Assumptions!$A$159:$A$168,0)),'Cash flow forecast'!O$5=INDEX(Assumptions!$F$159:$F$168,MATCH('Cash flow forecast'!$B184,Assumptions!$A$159:$A$168,0))),SUMIFS(Assumptions!$B$159:$B$168,Assumptions!$A$159:$A$168,'Cash flow forecast'!$B184,Assumptions!$D$159:$D$168,"Annual"),0)),"")</f>
        <v>40</v>
      </c>
      <c r="P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forecast'!P$5))*(INDEX(Assumptions!$C$159:$C$168,MATCH('Cash flow forecast'!$B184,Assumptions!$A$159:$A$168,0))),IF(OR('Cash flow forecast'!P$5=INDEX(Assumptions!$E$159:$E$168,MATCH('Cash flow forecast'!$B184,Assumptions!$A$159:$A$168,0)),'Cash flow forecast'!P$5=INDEX(Assumptions!$F$159:$F$168,MATCH('Cash flow forecast'!$B184,Assumptions!$A$159:$A$168,0))),SUMIFS(Assumptions!$B$159:$B$168,Assumptions!$A$159:$A$168,'Cash flow forecast'!$B184,Assumptions!$D$159:$D$168,"Annual"),0)),"")</f>
        <v>40</v>
      </c>
      <c r="Q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forecast'!Q$5))*(INDEX(Assumptions!$C$159:$C$168,MATCH('Cash flow forecast'!$B184,Assumptions!$A$159:$A$168,0))),IF(OR('Cash flow forecast'!Q$5=INDEX(Assumptions!$E$159:$E$168,MATCH('Cash flow forecast'!$B184,Assumptions!$A$159:$A$168,0)),'Cash flow forecast'!Q$5=INDEX(Assumptions!$F$159:$F$168,MATCH('Cash flow forecast'!$B184,Assumptions!$A$159:$A$168,0))),SUMIFS(Assumptions!$B$159:$B$168,Assumptions!$A$159:$A$168,'Cash flow forecast'!$B184,Assumptions!$D$159:$D$168,"Annual"),0)),"")</f>
        <v>40</v>
      </c>
      <c r="R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forecast'!R$5))*(INDEX(Assumptions!$C$159:$C$168,MATCH('Cash flow forecast'!$B184,Assumptions!$A$159:$A$168,0))),IF(OR('Cash flow forecast'!R$5=INDEX(Assumptions!$E$159:$E$168,MATCH('Cash flow forecast'!$B184,Assumptions!$A$159:$A$168,0)),'Cash flow forecast'!R$5=INDEX(Assumptions!$F$159:$F$168,MATCH('Cash flow forecast'!$B184,Assumptions!$A$159:$A$168,0))),SUMIFS(Assumptions!$B$159:$B$168,Assumptions!$A$159:$A$168,'Cash flow forecast'!$B184,Assumptions!$D$159:$D$168,"Annual"),0)),"")</f>
        <v>40</v>
      </c>
      <c r="S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forecast'!S$5))*(INDEX(Assumptions!$C$159:$C$168,MATCH('Cash flow forecast'!$B184,Assumptions!$A$159:$A$168,0))),IF(OR('Cash flow forecast'!S$5=INDEX(Assumptions!$E$159:$E$168,MATCH('Cash flow forecast'!$B184,Assumptions!$A$159:$A$168,0)),'Cash flow forecast'!S$5=INDEX(Assumptions!$F$159:$F$168,MATCH('Cash flow forecast'!$B184,Assumptions!$A$159:$A$168,0))),SUMIFS(Assumptions!$B$159:$B$168,Assumptions!$A$159:$A$168,'Cash flow forecast'!$B184,Assumptions!$D$159:$D$168,"Annual"),0)),"")</f>
        <v>40</v>
      </c>
      <c r="T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forecast'!T$5))*(INDEX(Assumptions!$C$159:$C$168,MATCH('Cash flow forecast'!$B184,Assumptions!$A$159:$A$168,0))),IF(OR('Cash flow forecast'!T$5=INDEX(Assumptions!$E$159:$E$168,MATCH('Cash flow forecast'!$B184,Assumptions!$A$159:$A$168,0)),'Cash flow forecast'!T$5=INDEX(Assumptions!$F$159:$F$168,MATCH('Cash flow forecast'!$B184,Assumptions!$A$159:$A$168,0))),SUMIFS(Assumptions!$B$159:$B$168,Assumptions!$A$159:$A$168,'Cash flow forecast'!$B184,Assumptions!$D$159:$D$168,"Annual"),0)),"")</f>
        <v>40</v>
      </c>
      <c r="U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forecast'!U$5))*(INDEX(Assumptions!$C$159:$C$168,MATCH('Cash flow forecast'!$B184,Assumptions!$A$159:$A$168,0))),IF(OR('Cash flow forecast'!U$5=INDEX(Assumptions!$E$159:$E$168,MATCH('Cash flow forecast'!$B184,Assumptions!$A$159:$A$168,0)),'Cash flow forecast'!U$5=INDEX(Assumptions!$F$159:$F$168,MATCH('Cash flow forecast'!$B184,Assumptions!$A$159:$A$168,0))),SUMIFS(Assumptions!$B$159:$B$168,Assumptions!$A$159:$A$168,'Cash flow forecast'!$B184,Assumptions!$D$159:$D$168,"Annual"),0)),"")</f>
        <v>40</v>
      </c>
      <c r="V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forecast'!V$5))*(INDEX(Assumptions!$C$159:$C$168,MATCH('Cash flow forecast'!$B184,Assumptions!$A$159:$A$168,0))),IF(OR('Cash flow forecast'!V$5=INDEX(Assumptions!$E$159:$E$168,MATCH('Cash flow forecast'!$B184,Assumptions!$A$159:$A$168,0)),'Cash flow forecast'!V$5=INDEX(Assumptions!$F$159:$F$168,MATCH('Cash flow forecast'!$B184,Assumptions!$A$159:$A$168,0))),SUMIFS(Assumptions!$B$159:$B$168,Assumptions!$A$159:$A$168,'Cash flow forecast'!$B184,Assumptions!$D$159:$D$168,"Annual"),0)),"")</f>
        <v>40</v>
      </c>
      <c r="W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forecast'!W$5))*(INDEX(Assumptions!$C$159:$C$168,MATCH('Cash flow forecast'!$B184,Assumptions!$A$159:$A$168,0))),IF(OR('Cash flow forecast'!W$5=INDEX(Assumptions!$E$159:$E$168,MATCH('Cash flow forecast'!$B184,Assumptions!$A$159:$A$168,0)),'Cash flow forecast'!W$5=INDEX(Assumptions!$F$159:$F$168,MATCH('Cash flow forecast'!$B184,Assumptions!$A$159:$A$168,0))),SUMIFS(Assumptions!$B$159:$B$168,Assumptions!$A$159:$A$168,'Cash flow forecast'!$B184,Assumptions!$D$159:$D$168,"Annual"),0)),"")</f>
        <v>40</v>
      </c>
      <c r="X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forecast'!X$5))*(INDEX(Assumptions!$C$159:$C$168,MATCH('Cash flow forecast'!$B184,Assumptions!$A$159:$A$168,0))),IF(OR('Cash flow forecast'!X$5=INDEX(Assumptions!$E$159:$E$168,MATCH('Cash flow forecast'!$B184,Assumptions!$A$159:$A$168,0)),'Cash flow forecast'!X$5=INDEX(Assumptions!$F$159:$F$168,MATCH('Cash flow forecast'!$B184,Assumptions!$A$159:$A$168,0))),SUMIFS(Assumptions!$B$159:$B$168,Assumptions!$A$159:$A$168,'Cash flow forecast'!$B184,Assumptions!$D$159:$D$168,"Annual"),0)),"")</f>
        <v>40</v>
      </c>
      <c r="Y184" s="222">
        <f>IFERROR(IF(INDEX(Assumptions!$D$159:$D$168,MATCH('Cash flow forecast'!$B184,Assumptions!$A$159:$A$168,0))="Monthly",(SUMIFS(Assumptions!$B$159:$B$168,Assumptions!$A$159:$A$168,'Cash flow forecast'!$B184,Assumptions!$E$159:$E$168,"&lt;="&amp;'Cash flow forecast'!Y$5))*(INDEX(Assumptions!$C$159:$C$168,MATCH('Cash flow forecast'!$B184,Assumptions!$A$159:$A$168,0))),IF(OR('Cash flow forecast'!Y$5=INDEX(Assumptions!$E$159:$E$168,MATCH('Cash flow forecast'!$B184,Assumptions!$A$159:$A$168,0)),'Cash flow forecast'!Y$5=INDEX(Assumptions!$F$159:$F$168,MATCH('Cash flow forecast'!$B184,Assumptions!$A$159:$A$168,0))),SUMIFS(Assumptions!$B$159:$B$168,Assumptions!$A$159:$A$168,'Cash flow forecast'!$B184,Assumptions!$D$159:$D$168,"Annual"),0)),"")</f>
        <v>40</v>
      </c>
      <c r="Z184" s="223">
        <f>IFERROR(IF(INDEX(Assumptions!$D$159:$D$168,MATCH('Cash flow forecast'!$B184,Assumptions!$A$159:$A$168,0))="Monthly",(SUMIFS(Assumptions!$B$159:$B$168,Assumptions!$A$159:$A$168,'Cash flow forecast'!$B184,Assumptions!$E$159:$E$168,"&lt;="&amp;'Cash flow forecast'!Z$5))*(INDEX(Assumptions!$C$159:$C$168,MATCH('Cash flow forecast'!$B184,Assumptions!$A$159:$A$168,0))),IF(OR('Cash flow forecast'!Z$5=INDEX(Assumptions!$E$159:$E$168,MATCH('Cash flow forecast'!$B184,Assumptions!$A$159:$A$168,0)),'Cash flow forecast'!Z$5=INDEX(Assumptions!$F$159:$F$168,MATCH('Cash flow forecast'!$B184,Assumptions!$A$159:$A$168,0))),SUMIFS(Assumptions!$B$159:$B$168,Assumptions!$A$159:$A$168,'Cash flow forecast'!$B184,Assumptions!$D$159:$D$168,"Annual"),0)),"")</f>
        <v>40</v>
      </c>
      <c r="AA184" s="221">
        <f t="shared" si="180"/>
        <v>120</v>
      </c>
      <c r="AB184" s="222">
        <f t="shared" si="180"/>
        <v>120</v>
      </c>
      <c r="AC184" s="222">
        <f t="shared" si="180"/>
        <v>120</v>
      </c>
      <c r="AD184" s="222">
        <f t="shared" si="180"/>
        <v>120</v>
      </c>
      <c r="AE184" s="225">
        <f t="shared" si="173"/>
        <v>480</v>
      </c>
      <c r="AF184" s="221">
        <f t="shared" si="176"/>
        <v>120</v>
      </c>
      <c r="AG184" s="222">
        <f t="shared" si="181"/>
        <v>120</v>
      </c>
      <c r="AH184" s="222">
        <f t="shared" si="181"/>
        <v>120</v>
      </c>
      <c r="AI184" s="223">
        <f t="shared" si="181"/>
        <v>120</v>
      </c>
      <c r="AJ184" s="225">
        <f t="shared" si="177"/>
        <v>480</v>
      </c>
      <c r="AK184" s="243">
        <f t="shared" si="182"/>
        <v>9.3901591158549618E-4</v>
      </c>
    </row>
    <row r="185" spans="2:37" ht="22.15" hidden="1" customHeight="1" outlineLevel="1" x14ac:dyDescent="0.25">
      <c r="B185" s="91" t="str">
        <f>Assumptions!A163</f>
        <v>Test 5</v>
      </c>
      <c r="C185" s="221">
        <f>IFERROR(IF(INDEX(Assumptions!$D$159:$D$168,MATCH('Cash flow forecast'!$B185,Assumptions!$A$159:$A$168,0))="Monthly",(SUMIFS(Assumptions!$B$159:$B$168,Assumptions!$A$159:$A$168,'Cash flow forecast'!$B185,Assumptions!$E$159:$E$168,"&lt;="&amp;'Cash flow forecast'!C$5))*(INDEX(Assumptions!$C$159:$C$168,MATCH('Cash flow forecast'!$B185,Assumptions!$A$159:$A$168,0))),IF(OR('Cash flow forecast'!C$5=INDEX(Assumptions!$E$159:$E$168,MATCH('Cash flow forecast'!$B185,Assumptions!$A$159:$A$168,0)),'Cash flow forecast'!C$5=INDEX(Assumptions!$F$159:$F$168,MATCH('Cash flow forecast'!$B185,Assumptions!$A$159:$A$168,0))),SUMIFS(Assumptions!$B$159:$B$168,Assumptions!$A$159:$A$168,'Cash flow forecast'!$B185,Assumptions!$D$159:$D$168,"Annual"),0)),"")</f>
        <v>10</v>
      </c>
      <c r="D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forecast'!D$5))*(INDEX(Assumptions!$C$159:$C$168,MATCH('Cash flow forecast'!$B185,Assumptions!$A$159:$A$168,0))),IF(OR('Cash flow forecast'!D$5=INDEX(Assumptions!$E$159:$E$168,MATCH('Cash flow forecast'!$B185,Assumptions!$A$159:$A$168,0)),'Cash flow forecast'!D$5=INDEX(Assumptions!$F$159:$F$168,MATCH('Cash flow forecast'!$B185,Assumptions!$A$159:$A$168,0))),SUMIFS(Assumptions!$B$159:$B$168,Assumptions!$A$159:$A$168,'Cash flow forecast'!$B185,Assumptions!$D$159:$D$168,"Annual"),0)),"")</f>
        <v>10</v>
      </c>
      <c r="E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forecast'!E$5))*(INDEX(Assumptions!$C$159:$C$168,MATCH('Cash flow forecast'!$B185,Assumptions!$A$159:$A$168,0))),IF(OR('Cash flow forecast'!E$5=INDEX(Assumptions!$E$159:$E$168,MATCH('Cash flow forecast'!$B185,Assumptions!$A$159:$A$168,0)),'Cash flow forecast'!E$5=INDEX(Assumptions!$F$159:$F$168,MATCH('Cash flow forecast'!$B185,Assumptions!$A$159:$A$168,0))),SUMIFS(Assumptions!$B$159:$B$168,Assumptions!$A$159:$A$168,'Cash flow forecast'!$B185,Assumptions!$D$159:$D$168,"Annual"),0)),"")</f>
        <v>10</v>
      </c>
      <c r="F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forecast'!F$5))*(INDEX(Assumptions!$C$159:$C$168,MATCH('Cash flow forecast'!$B185,Assumptions!$A$159:$A$168,0))),IF(OR('Cash flow forecast'!F$5=INDEX(Assumptions!$E$159:$E$168,MATCH('Cash flow forecast'!$B185,Assumptions!$A$159:$A$168,0)),'Cash flow forecast'!F$5=INDEX(Assumptions!$F$159:$F$168,MATCH('Cash flow forecast'!$B185,Assumptions!$A$159:$A$168,0))),SUMIFS(Assumptions!$B$159:$B$168,Assumptions!$A$159:$A$168,'Cash flow forecast'!$B185,Assumptions!$D$159:$D$168,"Annual"),0)),"")</f>
        <v>10</v>
      </c>
      <c r="G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forecast'!G$5))*(INDEX(Assumptions!$C$159:$C$168,MATCH('Cash flow forecast'!$B185,Assumptions!$A$159:$A$168,0))),IF(OR('Cash flow forecast'!G$5=INDEX(Assumptions!$E$159:$E$168,MATCH('Cash flow forecast'!$B185,Assumptions!$A$159:$A$168,0)),'Cash flow forecast'!G$5=INDEX(Assumptions!$F$159:$F$168,MATCH('Cash flow forecast'!$B185,Assumptions!$A$159:$A$168,0))),SUMIFS(Assumptions!$B$159:$B$168,Assumptions!$A$159:$A$168,'Cash flow forecast'!$B185,Assumptions!$D$159:$D$168,"Annual"),0)),"")</f>
        <v>10</v>
      </c>
      <c r="H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forecast'!H$5))*(INDEX(Assumptions!$C$159:$C$168,MATCH('Cash flow forecast'!$B185,Assumptions!$A$159:$A$168,0))),IF(OR('Cash flow forecast'!H$5=INDEX(Assumptions!$E$159:$E$168,MATCH('Cash flow forecast'!$B185,Assumptions!$A$159:$A$168,0)),'Cash flow forecast'!H$5=INDEX(Assumptions!$F$159:$F$168,MATCH('Cash flow forecast'!$B185,Assumptions!$A$159:$A$168,0))),SUMIFS(Assumptions!$B$159:$B$168,Assumptions!$A$159:$A$168,'Cash flow forecast'!$B185,Assumptions!$D$159:$D$168,"Annual"),0)),"")</f>
        <v>10</v>
      </c>
      <c r="I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forecast'!I$5))*(INDEX(Assumptions!$C$159:$C$168,MATCH('Cash flow forecast'!$B185,Assumptions!$A$159:$A$168,0))),IF(OR('Cash flow forecast'!I$5=INDEX(Assumptions!$E$159:$E$168,MATCH('Cash flow forecast'!$B185,Assumptions!$A$159:$A$168,0)),'Cash flow forecast'!I$5=INDEX(Assumptions!$F$159:$F$168,MATCH('Cash flow forecast'!$B185,Assumptions!$A$159:$A$168,0))),SUMIFS(Assumptions!$B$159:$B$168,Assumptions!$A$159:$A$168,'Cash flow forecast'!$B185,Assumptions!$D$159:$D$168,"Annual"),0)),"")</f>
        <v>10</v>
      </c>
      <c r="J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forecast'!J$5))*(INDEX(Assumptions!$C$159:$C$168,MATCH('Cash flow forecast'!$B185,Assumptions!$A$159:$A$168,0))),IF(OR('Cash flow forecast'!J$5=INDEX(Assumptions!$E$159:$E$168,MATCH('Cash flow forecast'!$B185,Assumptions!$A$159:$A$168,0)),'Cash flow forecast'!J$5=INDEX(Assumptions!$F$159:$F$168,MATCH('Cash flow forecast'!$B185,Assumptions!$A$159:$A$168,0))),SUMIFS(Assumptions!$B$159:$B$168,Assumptions!$A$159:$A$168,'Cash flow forecast'!$B185,Assumptions!$D$159:$D$168,"Annual"),0)),"")</f>
        <v>10</v>
      </c>
      <c r="K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forecast'!K$5))*(INDEX(Assumptions!$C$159:$C$168,MATCH('Cash flow forecast'!$B185,Assumptions!$A$159:$A$168,0))),IF(OR('Cash flow forecast'!K$5=INDEX(Assumptions!$E$159:$E$168,MATCH('Cash flow forecast'!$B185,Assumptions!$A$159:$A$168,0)),'Cash flow forecast'!K$5=INDEX(Assumptions!$F$159:$F$168,MATCH('Cash flow forecast'!$B185,Assumptions!$A$159:$A$168,0))),SUMIFS(Assumptions!$B$159:$B$168,Assumptions!$A$159:$A$168,'Cash flow forecast'!$B185,Assumptions!$D$159:$D$168,"Annual"),0)),"")</f>
        <v>10</v>
      </c>
      <c r="L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forecast'!L$5))*(INDEX(Assumptions!$C$159:$C$168,MATCH('Cash flow forecast'!$B185,Assumptions!$A$159:$A$168,0))),IF(OR('Cash flow forecast'!L$5=INDEX(Assumptions!$E$159:$E$168,MATCH('Cash flow forecast'!$B185,Assumptions!$A$159:$A$168,0)),'Cash flow forecast'!L$5=INDEX(Assumptions!$F$159:$F$168,MATCH('Cash flow forecast'!$B185,Assumptions!$A$159:$A$168,0))),SUMIFS(Assumptions!$B$159:$B$168,Assumptions!$A$159:$A$168,'Cash flow forecast'!$B185,Assumptions!$D$159:$D$168,"Annual"),0)),"")</f>
        <v>10</v>
      </c>
      <c r="M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forecast'!M$5))*(INDEX(Assumptions!$C$159:$C$168,MATCH('Cash flow forecast'!$B185,Assumptions!$A$159:$A$168,0))),IF(OR('Cash flow forecast'!M$5=INDEX(Assumptions!$E$159:$E$168,MATCH('Cash flow forecast'!$B185,Assumptions!$A$159:$A$168,0)),'Cash flow forecast'!M$5=INDEX(Assumptions!$F$159:$F$168,MATCH('Cash flow forecast'!$B185,Assumptions!$A$159:$A$168,0))),SUMIFS(Assumptions!$B$159:$B$168,Assumptions!$A$159:$A$168,'Cash flow forecast'!$B185,Assumptions!$D$159:$D$168,"Annual"),0)),"")</f>
        <v>10</v>
      </c>
      <c r="N185" s="223">
        <f>IFERROR(IF(INDEX(Assumptions!$D$159:$D$168,MATCH('Cash flow forecast'!$B185,Assumptions!$A$159:$A$168,0))="Monthly",(SUMIFS(Assumptions!$B$159:$B$168,Assumptions!$A$159:$A$168,'Cash flow forecast'!$B185,Assumptions!$E$159:$E$168,"&lt;="&amp;'Cash flow forecast'!N$5))*(INDEX(Assumptions!$C$159:$C$168,MATCH('Cash flow forecast'!$B185,Assumptions!$A$159:$A$168,0))),IF(OR('Cash flow forecast'!N$5=INDEX(Assumptions!$E$159:$E$168,MATCH('Cash flow forecast'!$B185,Assumptions!$A$159:$A$168,0)),'Cash flow forecast'!N$5=INDEX(Assumptions!$F$159:$F$168,MATCH('Cash flow forecast'!$B185,Assumptions!$A$159:$A$168,0))),SUMIFS(Assumptions!$B$159:$B$168,Assumptions!$A$159:$A$168,'Cash flow forecast'!$B185,Assumptions!$D$159:$D$168,"Annual"),0)),"")</f>
        <v>10</v>
      </c>
      <c r="O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forecast'!O$5))*(INDEX(Assumptions!$C$159:$C$168,MATCH('Cash flow forecast'!$B185,Assumptions!$A$159:$A$168,0))),IF(OR('Cash flow forecast'!O$5=INDEX(Assumptions!$E$159:$E$168,MATCH('Cash flow forecast'!$B185,Assumptions!$A$159:$A$168,0)),'Cash flow forecast'!O$5=INDEX(Assumptions!$F$159:$F$168,MATCH('Cash flow forecast'!$B185,Assumptions!$A$159:$A$168,0))),SUMIFS(Assumptions!$B$159:$B$168,Assumptions!$A$159:$A$168,'Cash flow forecast'!$B185,Assumptions!$D$159:$D$168,"Annual"),0)),"")</f>
        <v>10</v>
      </c>
      <c r="P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forecast'!P$5))*(INDEX(Assumptions!$C$159:$C$168,MATCH('Cash flow forecast'!$B185,Assumptions!$A$159:$A$168,0))),IF(OR('Cash flow forecast'!P$5=INDEX(Assumptions!$E$159:$E$168,MATCH('Cash flow forecast'!$B185,Assumptions!$A$159:$A$168,0)),'Cash flow forecast'!P$5=INDEX(Assumptions!$F$159:$F$168,MATCH('Cash flow forecast'!$B185,Assumptions!$A$159:$A$168,0))),SUMIFS(Assumptions!$B$159:$B$168,Assumptions!$A$159:$A$168,'Cash flow forecast'!$B185,Assumptions!$D$159:$D$168,"Annual"),0)),"")</f>
        <v>10</v>
      </c>
      <c r="Q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forecast'!Q$5))*(INDEX(Assumptions!$C$159:$C$168,MATCH('Cash flow forecast'!$B185,Assumptions!$A$159:$A$168,0))),IF(OR('Cash flow forecast'!Q$5=INDEX(Assumptions!$E$159:$E$168,MATCH('Cash flow forecast'!$B185,Assumptions!$A$159:$A$168,0)),'Cash flow forecast'!Q$5=INDEX(Assumptions!$F$159:$F$168,MATCH('Cash flow forecast'!$B185,Assumptions!$A$159:$A$168,0))),SUMIFS(Assumptions!$B$159:$B$168,Assumptions!$A$159:$A$168,'Cash flow forecast'!$B185,Assumptions!$D$159:$D$168,"Annual"),0)),"")</f>
        <v>10</v>
      </c>
      <c r="R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forecast'!R$5))*(INDEX(Assumptions!$C$159:$C$168,MATCH('Cash flow forecast'!$B185,Assumptions!$A$159:$A$168,0))),IF(OR('Cash flow forecast'!R$5=INDEX(Assumptions!$E$159:$E$168,MATCH('Cash flow forecast'!$B185,Assumptions!$A$159:$A$168,0)),'Cash flow forecast'!R$5=INDEX(Assumptions!$F$159:$F$168,MATCH('Cash flow forecast'!$B185,Assumptions!$A$159:$A$168,0))),SUMIFS(Assumptions!$B$159:$B$168,Assumptions!$A$159:$A$168,'Cash flow forecast'!$B185,Assumptions!$D$159:$D$168,"Annual"),0)),"")</f>
        <v>10</v>
      </c>
      <c r="S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forecast'!S$5))*(INDEX(Assumptions!$C$159:$C$168,MATCH('Cash flow forecast'!$B185,Assumptions!$A$159:$A$168,0))),IF(OR('Cash flow forecast'!S$5=INDEX(Assumptions!$E$159:$E$168,MATCH('Cash flow forecast'!$B185,Assumptions!$A$159:$A$168,0)),'Cash flow forecast'!S$5=INDEX(Assumptions!$F$159:$F$168,MATCH('Cash flow forecast'!$B185,Assumptions!$A$159:$A$168,0))),SUMIFS(Assumptions!$B$159:$B$168,Assumptions!$A$159:$A$168,'Cash flow forecast'!$B185,Assumptions!$D$159:$D$168,"Annual"),0)),"")</f>
        <v>10</v>
      </c>
      <c r="T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forecast'!T$5))*(INDEX(Assumptions!$C$159:$C$168,MATCH('Cash flow forecast'!$B185,Assumptions!$A$159:$A$168,0))),IF(OR('Cash flow forecast'!T$5=INDEX(Assumptions!$E$159:$E$168,MATCH('Cash flow forecast'!$B185,Assumptions!$A$159:$A$168,0)),'Cash flow forecast'!T$5=INDEX(Assumptions!$F$159:$F$168,MATCH('Cash flow forecast'!$B185,Assumptions!$A$159:$A$168,0))),SUMIFS(Assumptions!$B$159:$B$168,Assumptions!$A$159:$A$168,'Cash flow forecast'!$B185,Assumptions!$D$159:$D$168,"Annual"),0)),"")</f>
        <v>10</v>
      </c>
      <c r="U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forecast'!U$5))*(INDEX(Assumptions!$C$159:$C$168,MATCH('Cash flow forecast'!$B185,Assumptions!$A$159:$A$168,0))),IF(OR('Cash flow forecast'!U$5=INDEX(Assumptions!$E$159:$E$168,MATCH('Cash flow forecast'!$B185,Assumptions!$A$159:$A$168,0)),'Cash flow forecast'!U$5=INDEX(Assumptions!$F$159:$F$168,MATCH('Cash flow forecast'!$B185,Assumptions!$A$159:$A$168,0))),SUMIFS(Assumptions!$B$159:$B$168,Assumptions!$A$159:$A$168,'Cash flow forecast'!$B185,Assumptions!$D$159:$D$168,"Annual"),0)),"")</f>
        <v>10</v>
      </c>
      <c r="V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forecast'!V$5))*(INDEX(Assumptions!$C$159:$C$168,MATCH('Cash flow forecast'!$B185,Assumptions!$A$159:$A$168,0))),IF(OR('Cash flow forecast'!V$5=INDEX(Assumptions!$E$159:$E$168,MATCH('Cash flow forecast'!$B185,Assumptions!$A$159:$A$168,0)),'Cash flow forecast'!V$5=INDEX(Assumptions!$F$159:$F$168,MATCH('Cash flow forecast'!$B185,Assumptions!$A$159:$A$168,0))),SUMIFS(Assumptions!$B$159:$B$168,Assumptions!$A$159:$A$168,'Cash flow forecast'!$B185,Assumptions!$D$159:$D$168,"Annual"),0)),"")</f>
        <v>10</v>
      </c>
      <c r="W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forecast'!W$5))*(INDEX(Assumptions!$C$159:$C$168,MATCH('Cash flow forecast'!$B185,Assumptions!$A$159:$A$168,0))),IF(OR('Cash flow forecast'!W$5=INDEX(Assumptions!$E$159:$E$168,MATCH('Cash flow forecast'!$B185,Assumptions!$A$159:$A$168,0)),'Cash flow forecast'!W$5=INDEX(Assumptions!$F$159:$F$168,MATCH('Cash flow forecast'!$B185,Assumptions!$A$159:$A$168,0))),SUMIFS(Assumptions!$B$159:$B$168,Assumptions!$A$159:$A$168,'Cash flow forecast'!$B185,Assumptions!$D$159:$D$168,"Annual"),0)),"")</f>
        <v>10</v>
      </c>
      <c r="X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forecast'!X$5))*(INDEX(Assumptions!$C$159:$C$168,MATCH('Cash flow forecast'!$B185,Assumptions!$A$159:$A$168,0))),IF(OR('Cash flow forecast'!X$5=INDEX(Assumptions!$E$159:$E$168,MATCH('Cash flow forecast'!$B185,Assumptions!$A$159:$A$168,0)),'Cash flow forecast'!X$5=INDEX(Assumptions!$F$159:$F$168,MATCH('Cash flow forecast'!$B185,Assumptions!$A$159:$A$168,0))),SUMIFS(Assumptions!$B$159:$B$168,Assumptions!$A$159:$A$168,'Cash flow forecast'!$B185,Assumptions!$D$159:$D$168,"Annual"),0)),"")</f>
        <v>10</v>
      </c>
      <c r="Y185" s="222">
        <f>IFERROR(IF(INDEX(Assumptions!$D$159:$D$168,MATCH('Cash flow forecast'!$B185,Assumptions!$A$159:$A$168,0))="Monthly",(SUMIFS(Assumptions!$B$159:$B$168,Assumptions!$A$159:$A$168,'Cash flow forecast'!$B185,Assumptions!$E$159:$E$168,"&lt;="&amp;'Cash flow forecast'!Y$5))*(INDEX(Assumptions!$C$159:$C$168,MATCH('Cash flow forecast'!$B185,Assumptions!$A$159:$A$168,0))),IF(OR('Cash flow forecast'!Y$5=INDEX(Assumptions!$E$159:$E$168,MATCH('Cash flow forecast'!$B185,Assumptions!$A$159:$A$168,0)),'Cash flow forecast'!Y$5=INDEX(Assumptions!$F$159:$F$168,MATCH('Cash flow forecast'!$B185,Assumptions!$A$159:$A$168,0))),SUMIFS(Assumptions!$B$159:$B$168,Assumptions!$A$159:$A$168,'Cash flow forecast'!$B185,Assumptions!$D$159:$D$168,"Annual"),0)),"")</f>
        <v>10</v>
      </c>
      <c r="Z185" s="223">
        <f>IFERROR(IF(INDEX(Assumptions!$D$159:$D$168,MATCH('Cash flow forecast'!$B185,Assumptions!$A$159:$A$168,0))="Monthly",(SUMIFS(Assumptions!$B$159:$B$168,Assumptions!$A$159:$A$168,'Cash flow forecast'!$B185,Assumptions!$E$159:$E$168,"&lt;="&amp;'Cash flow forecast'!Z$5))*(INDEX(Assumptions!$C$159:$C$168,MATCH('Cash flow forecast'!$B185,Assumptions!$A$159:$A$168,0))),IF(OR('Cash flow forecast'!Z$5=INDEX(Assumptions!$E$159:$E$168,MATCH('Cash flow forecast'!$B185,Assumptions!$A$159:$A$168,0)),'Cash flow forecast'!Z$5=INDEX(Assumptions!$F$159:$F$168,MATCH('Cash flow forecast'!$B185,Assumptions!$A$159:$A$168,0))),SUMIFS(Assumptions!$B$159:$B$168,Assumptions!$A$159:$A$168,'Cash flow forecast'!$B185,Assumptions!$D$159:$D$168,"Annual"),0)),"")</f>
        <v>10</v>
      </c>
      <c r="AA185" s="221">
        <f t="shared" si="180"/>
        <v>30</v>
      </c>
      <c r="AB185" s="222">
        <f t="shared" si="180"/>
        <v>30</v>
      </c>
      <c r="AC185" s="222">
        <f t="shared" si="180"/>
        <v>30</v>
      </c>
      <c r="AD185" s="222">
        <f t="shared" si="180"/>
        <v>30</v>
      </c>
      <c r="AE185" s="225">
        <f t="shared" si="173"/>
        <v>120</v>
      </c>
      <c r="AF185" s="221">
        <f t="shared" si="176"/>
        <v>30</v>
      </c>
      <c r="AG185" s="222">
        <f t="shared" si="181"/>
        <v>30</v>
      </c>
      <c r="AH185" s="222">
        <f t="shared" si="181"/>
        <v>30</v>
      </c>
      <c r="AI185" s="223">
        <f t="shared" si="181"/>
        <v>30</v>
      </c>
      <c r="AJ185" s="225">
        <f t="shared" si="177"/>
        <v>120</v>
      </c>
      <c r="AK185" s="243">
        <f t="shared" si="182"/>
        <v>2.3475397789637405E-4</v>
      </c>
    </row>
    <row r="186" spans="2:37" ht="22.15" hidden="1" customHeight="1" outlineLevel="1" x14ac:dyDescent="0.25">
      <c r="B186" s="91" t="str">
        <f>Assumptions!A164</f>
        <v>Test 6</v>
      </c>
      <c r="C186" s="221">
        <f>IFERROR(IF(INDEX(Assumptions!$D$159:$D$168,MATCH('Cash flow forecast'!$B186,Assumptions!$A$159:$A$168,0))="Monthly",(SUMIFS(Assumptions!$B$159:$B$168,Assumptions!$A$159:$A$168,'Cash flow forecast'!$B186,Assumptions!$E$159:$E$168,"&lt;="&amp;'Cash flow forecast'!C$5))*(INDEX(Assumptions!$C$159:$C$168,MATCH('Cash flow forecast'!$B186,Assumptions!$A$159:$A$168,0))),IF(OR('Cash flow forecast'!C$5=INDEX(Assumptions!$E$159:$E$168,MATCH('Cash flow forecast'!$B186,Assumptions!$A$159:$A$168,0)),'Cash flow forecast'!C$5=INDEX(Assumptions!$F$159:$F$168,MATCH('Cash flow forecast'!$B186,Assumptions!$A$159:$A$168,0))),SUMIFS(Assumptions!$B$159:$B$168,Assumptions!$A$159:$A$168,'Cash flow forecast'!$B186,Assumptions!$D$159:$D$168,"Annual"),0)),"")</f>
        <v>10</v>
      </c>
      <c r="D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forecast'!D$5))*(INDEX(Assumptions!$C$159:$C$168,MATCH('Cash flow forecast'!$B186,Assumptions!$A$159:$A$168,0))),IF(OR('Cash flow forecast'!D$5=INDEX(Assumptions!$E$159:$E$168,MATCH('Cash flow forecast'!$B186,Assumptions!$A$159:$A$168,0)),'Cash flow forecast'!D$5=INDEX(Assumptions!$F$159:$F$168,MATCH('Cash flow forecast'!$B186,Assumptions!$A$159:$A$168,0))),SUMIFS(Assumptions!$B$159:$B$168,Assumptions!$A$159:$A$168,'Cash flow forecast'!$B186,Assumptions!$D$159:$D$168,"Annual"),0)),"")</f>
        <v>0</v>
      </c>
      <c r="E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forecast'!E$5))*(INDEX(Assumptions!$C$159:$C$168,MATCH('Cash flow forecast'!$B186,Assumptions!$A$159:$A$168,0))),IF(OR('Cash flow forecast'!E$5=INDEX(Assumptions!$E$159:$E$168,MATCH('Cash flow forecast'!$B186,Assumptions!$A$159:$A$168,0)),'Cash flow forecast'!E$5=INDEX(Assumptions!$F$159:$F$168,MATCH('Cash flow forecast'!$B186,Assumptions!$A$159:$A$168,0))),SUMIFS(Assumptions!$B$159:$B$168,Assumptions!$A$159:$A$168,'Cash flow forecast'!$B186,Assumptions!$D$159:$D$168,"Annual"),0)),"")</f>
        <v>0</v>
      </c>
      <c r="F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forecast'!F$5))*(INDEX(Assumptions!$C$159:$C$168,MATCH('Cash flow forecast'!$B186,Assumptions!$A$159:$A$168,0))),IF(OR('Cash flow forecast'!F$5=INDEX(Assumptions!$E$159:$E$168,MATCH('Cash flow forecast'!$B186,Assumptions!$A$159:$A$168,0)),'Cash flow forecast'!F$5=INDEX(Assumptions!$F$159:$F$168,MATCH('Cash flow forecast'!$B186,Assumptions!$A$159:$A$168,0))),SUMIFS(Assumptions!$B$159:$B$168,Assumptions!$A$159:$A$168,'Cash flow forecast'!$B186,Assumptions!$D$159:$D$168,"Annual"),0)),"")</f>
        <v>0</v>
      </c>
      <c r="G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forecast'!G$5))*(INDEX(Assumptions!$C$159:$C$168,MATCH('Cash flow forecast'!$B186,Assumptions!$A$159:$A$168,0))),IF(OR('Cash flow forecast'!G$5=INDEX(Assumptions!$E$159:$E$168,MATCH('Cash flow forecast'!$B186,Assumptions!$A$159:$A$168,0)),'Cash flow forecast'!G$5=INDEX(Assumptions!$F$159:$F$168,MATCH('Cash flow forecast'!$B186,Assumptions!$A$159:$A$168,0))),SUMIFS(Assumptions!$B$159:$B$168,Assumptions!$A$159:$A$168,'Cash flow forecast'!$B186,Assumptions!$D$159:$D$168,"Annual"),0)),"")</f>
        <v>0</v>
      </c>
      <c r="H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forecast'!H$5))*(INDEX(Assumptions!$C$159:$C$168,MATCH('Cash flow forecast'!$B186,Assumptions!$A$159:$A$168,0))),IF(OR('Cash flow forecast'!H$5=INDEX(Assumptions!$E$159:$E$168,MATCH('Cash flow forecast'!$B186,Assumptions!$A$159:$A$168,0)),'Cash flow forecast'!H$5=INDEX(Assumptions!$F$159:$F$168,MATCH('Cash flow forecast'!$B186,Assumptions!$A$159:$A$168,0))),SUMIFS(Assumptions!$B$159:$B$168,Assumptions!$A$159:$A$168,'Cash flow forecast'!$B186,Assumptions!$D$159:$D$168,"Annual"),0)),"")</f>
        <v>0</v>
      </c>
      <c r="I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forecast'!I$5))*(INDEX(Assumptions!$C$159:$C$168,MATCH('Cash flow forecast'!$B186,Assumptions!$A$159:$A$168,0))),IF(OR('Cash flow forecast'!I$5=INDEX(Assumptions!$E$159:$E$168,MATCH('Cash flow forecast'!$B186,Assumptions!$A$159:$A$168,0)),'Cash flow forecast'!I$5=INDEX(Assumptions!$F$159:$F$168,MATCH('Cash flow forecast'!$B186,Assumptions!$A$159:$A$168,0))),SUMIFS(Assumptions!$B$159:$B$168,Assumptions!$A$159:$A$168,'Cash flow forecast'!$B186,Assumptions!$D$159:$D$168,"Annual"),0)),"")</f>
        <v>0</v>
      </c>
      <c r="J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forecast'!J$5))*(INDEX(Assumptions!$C$159:$C$168,MATCH('Cash flow forecast'!$B186,Assumptions!$A$159:$A$168,0))),IF(OR('Cash flow forecast'!J$5=INDEX(Assumptions!$E$159:$E$168,MATCH('Cash flow forecast'!$B186,Assumptions!$A$159:$A$168,0)),'Cash flow forecast'!J$5=INDEX(Assumptions!$F$159:$F$168,MATCH('Cash flow forecast'!$B186,Assumptions!$A$159:$A$168,0))),SUMIFS(Assumptions!$B$159:$B$168,Assumptions!$A$159:$A$168,'Cash flow forecast'!$B186,Assumptions!$D$159:$D$168,"Annual"),0)),"")</f>
        <v>0</v>
      </c>
      <c r="K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forecast'!K$5))*(INDEX(Assumptions!$C$159:$C$168,MATCH('Cash flow forecast'!$B186,Assumptions!$A$159:$A$168,0))),IF(OR('Cash flow forecast'!K$5=INDEX(Assumptions!$E$159:$E$168,MATCH('Cash flow forecast'!$B186,Assumptions!$A$159:$A$168,0)),'Cash flow forecast'!K$5=INDEX(Assumptions!$F$159:$F$168,MATCH('Cash flow forecast'!$B186,Assumptions!$A$159:$A$168,0))),SUMIFS(Assumptions!$B$159:$B$168,Assumptions!$A$159:$A$168,'Cash flow forecast'!$B186,Assumptions!$D$159:$D$168,"Annual"),0)),"")</f>
        <v>0</v>
      </c>
      <c r="L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forecast'!L$5))*(INDEX(Assumptions!$C$159:$C$168,MATCH('Cash flow forecast'!$B186,Assumptions!$A$159:$A$168,0))),IF(OR('Cash flow forecast'!L$5=INDEX(Assumptions!$E$159:$E$168,MATCH('Cash flow forecast'!$B186,Assumptions!$A$159:$A$168,0)),'Cash flow forecast'!L$5=INDEX(Assumptions!$F$159:$F$168,MATCH('Cash flow forecast'!$B186,Assumptions!$A$159:$A$168,0))),SUMIFS(Assumptions!$B$159:$B$168,Assumptions!$A$159:$A$168,'Cash flow forecast'!$B186,Assumptions!$D$159:$D$168,"Annual"),0)),"")</f>
        <v>0</v>
      </c>
      <c r="M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forecast'!M$5))*(INDEX(Assumptions!$C$159:$C$168,MATCH('Cash flow forecast'!$B186,Assumptions!$A$159:$A$168,0))),IF(OR('Cash flow forecast'!M$5=INDEX(Assumptions!$E$159:$E$168,MATCH('Cash flow forecast'!$B186,Assumptions!$A$159:$A$168,0)),'Cash flow forecast'!M$5=INDEX(Assumptions!$F$159:$F$168,MATCH('Cash flow forecast'!$B186,Assumptions!$A$159:$A$168,0))),SUMIFS(Assumptions!$B$159:$B$168,Assumptions!$A$159:$A$168,'Cash flow forecast'!$B186,Assumptions!$D$159:$D$168,"Annual"),0)),"")</f>
        <v>0</v>
      </c>
      <c r="N186" s="223">
        <f>IFERROR(IF(INDEX(Assumptions!$D$159:$D$168,MATCH('Cash flow forecast'!$B186,Assumptions!$A$159:$A$168,0))="Monthly",(SUMIFS(Assumptions!$B$159:$B$168,Assumptions!$A$159:$A$168,'Cash flow forecast'!$B186,Assumptions!$E$159:$E$168,"&lt;="&amp;'Cash flow forecast'!N$5))*(INDEX(Assumptions!$C$159:$C$168,MATCH('Cash flow forecast'!$B186,Assumptions!$A$159:$A$168,0))),IF(OR('Cash flow forecast'!N$5=INDEX(Assumptions!$E$159:$E$168,MATCH('Cash flow forecast'!$B186,Assumptions!$A$159:$A$168,0)),'Cash flow forecast'!N$5=INDEX(Assumptions!$F$159:$F$168,MATCH('Cash flow forecast'!$B186,Assumptions!$A$159:$A$168,0))),SUMIFS(Assumptions!$B$159:$B$168,Assumptions!$A$159:$A$168,'Cash flow forecast'!$B186,Assumptions!$D$159:$D$168,"Annual"),0)),"")</f>
        <v>0</v>
      </c>
      <c r="O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forecast'!O$5))*(INDEX(Assumptions!$C$159:$C$168,MATCH('Cash flow forecast'!$B186,Assumptions!$A$159:$A$168,0))),IF(OR('Cash flow forecast'!O$5=INDEX(Assumptions!$E$159:$E$168,MATCH('Cash flow forecast'!$B186,Assumptions!$A$159:$A$168,0)),'Cash flow forecast'!O$5=INDEX(Assumptions!$F$159:$F$168,MATCH('Cash flow forecast'!$B186,Assumptions!$A$159:$A$168,0))),SUMIFS(Assumptions!$B$159:$B$168,Assumptions!$A$159:$A$168,'Cash flow forecast'!$B186,Assumptions!$D$159:$D$168,"Annual"),0)),"")</f>
        <v>10</v>
      </c>
      <c r="P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forecast'!P$5))*(INDEX(Assumptions!$C$159:$C$168,MATCH('Cash flow forecast'!$B186,Assumptions!$A$159:$A$168,0))),IF(OR('Cash flow forecast'!P$5=INDEX(Assumptions!$E$159:$E$168,MATCH('Cash flow forecast'!$B186,Assumptions!$A$159:$A$168,0)),'Cash flow forecast'!P$5=INDEX(Assumptions!$F$159:$F$168,MATCH('Cash flow forecast'!$B186,Assumptions!$A$159:$A$168,0))),SUMIFS(Assumptions!$B$159:$B$168,Assumptions!$A$159:$A$168,'Cash flow forecast'!$B186,Assumptions!$D$159:$D$168,"Annual"),0)),"")</f>
        <v>0</v>
      </c>
      <c r="Q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forecast'!Q$5))*(INDEX(Assumptions!$C$159:$C$168,MATCH('Cash flow forecast'!$B186,Assumptions!$A$159:$A$168,0))),IF(OR('Cash flow forecast'!Q$5=INDEX(Assumptions!$E$159:$E$168,MATCH('Cash flow forecast'!$B186,Assumptions!$A$159:$A$168,0)),'Cash flow forecast'!Q$5=INDEX(Assumptions!$F$159:$F$168,MATCH('Cash flow forecast'!$B186,Assumptions!$A$159:$A$168,0))),SUMIFS(Assumptions!$B$159:$B$168,Assumptions!$A$159:$A$168,'Cash flow forecast'!$B186,Assumptions!$D$159:$D$168,"Annual"),0)),"")</f>
        <v>0</v>
      </c>
      <c r="R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forecast'!R$5))*(INDEX(Assumptions!$C$159:$C$168,MATCH('Cash flow forecast'!$B186,Assumptions!$A$159:$A$168,0))),IF(OR('Cash flow forecast'!R$5=INDEX(Assumptions!$E$159:$E$168,MATCH('Cash flow forecast'!$B186,Assumptions!$A$159:$A$168,0)),'Cash flow forecast'!R$5=INDEX(Assumptions!$F$159:$F$168,MATCH('Cash flow forecast'!$B186,Assumptions!$A$159:$A$168,0))),SUMIFS(Assumptions!$B$159:$B$168,Assumptions!$A$159:$A$168,'Cash flow forecast'!$B186,Assumptions!$D$159:$D$168,"Annual"),0)),"")</f>
        <v>0</v>
      </c>
      <c r="S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forecast'!S$5))*(INDEX(Assumptions!$C$159:$C$168,MATCH('Cash flow forecast'!$B186,Assumptions!$A$159:$A$168,0))),IF(OR('Cash flow forecast'!S$5=INDEX(Assumptions!$E$159:$E$168,MATCH('Cash flow forecast'!$B186,Assumptions!$A$159:$A$168,0)),'Cash flow forecast'!S$5=INDEX(Assumptions!$F$159:$F$168,MATCH('Cash flow forecast'!$B186,Assumptions!$A$159:$A$168,0))),SUMIFS(Assumptions!$B$159:$B$168,Assumptions!$A$159:$A$168,'Cash flow forecast'!$B186,Assumptions!$D$159:$D$168,"Annual"),0)),"")</f>
        <v>0</v>
      </c>
      <c r="T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forecast'!T$5))*(INDEX(Assumptions!$C$159:$C$168,MATCH('Cash flow forecast'!$B186,Assumptions!$A$159:$A$168,0))),IF(OR('Cash flow forecast'!T$5=INDEX(Assumptions!$E$159:$E$168,MATCH('Cash flow forecast'!$B186,Assumptions!$A$159:$A$168,0)),'Cash flow forecast'!T$5=INDEX(Assumptions!$F$159:$F$168,MATCH('Cash flow forecast'!$B186,Assumptions!$A$159:$A$168,0))),SUMIFS(Assumptions!$B$159:$B$168,Assumptions!$A$159:$A$168,'Cash flow forecast'!$B186,Assumptions!$D$159:$D$168,"Annual"),0)),"")</f>
        <v>0</v>
      </c>
      <c r="U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forecast'!U$5))*(INDEX(Assumptions!$C$159:$C$168,MATCH('Cash flow forecast'!$B186,Assumptions!$A$159:$A$168,0))),IF(OR('Cash flow forecast'!U$5=INDEX(Assumptions!$E$159:$E$168,MATCH('Cash flow forecast'!$B186,Assumptions!$A$159:$A$168,0)),'Cash flow forecast'!U$5=INDEX(Assumptions!$F$159:$F$168,MATCH('Cash flow forecast'!$B186,Assumptions!$A$159:$A$168,0))),SUMIFS(Assumptions!$B$159:$B$168,Assumptions!$A$159:$A$168,'Cash flow forecast'!$B186,Assumptions!$D$159:$D$168,"Annual"),0)),"")</f>
        <v>0</v>
      </c>
      <c r="V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forecast'!V$5))*(INDEX(Assumptions!$C$159:$C$168,MATCH('Cash flow forecast'!$B186,Assumptions!$A$159:$A$168,0))),IF(OR('Cash flow forecast'!V$5=INDEX(Assumptions!$E$159:$E$168,MATCH('Cash flow forecast'!$B186,Assumptions!$A$159:$A$168,0)),'Cash flow forecast'!V$5=INDEX(Assumptions!$F$159:$F$168,MATCH('Cash flow forecast'!$B186,Assumptions!$A$159:$A$168,0))),SUMIFS(Assumptions!$B$159:$B$168,Assumptions!$A$159:$A$168,'Cash flow forecast'!$B186,Assumptions!$D$159:$D$168,"Annual"),0)),"")</f>
        <v>0</v>
      </c>
      <c r="W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forecast'!W$5))*(INDEX(Assumptions!$C$159:$C$168,MATCH('Cash flow forecast'!$B186,Assumptions!$A$159:$A$168,0))),IF(OR('Cash flow forecast'!W$5=INDEX(Assumptions!$E$159:$E$168,MATCH('Cash flow forecast'!$B186,Assumptions!$A$159:$A$168,0)),'Cash flow forecast'!W$5=INDEX(Assumptions!$F$159:$F$168,MATCH('Cash flow forecast'!$B186,Assumptions!$A$159:$A$168,0))),SUMIFS(Assumptions!$B$159:$B$168,Assumptions!$A$159:$A$168,'Cash flow forecast'!$B186,Assumptions!$D$159:$D$168,"Annual"),0)),"")</f>
        <v>0</v>
      </c>
      <c r="X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forecast'!X$5))*(INDEX(Assumptions!$C$159:$C$168,MATCH('Cash flow forecast'!$B186,Assumptions!$A$159:$A$168,0))),IF(OR('Cash flow forecast'!X$5=INDEX(Assumptions!$E$159:$E$168,MATCH('Cash flow forecast'!$B186,Assumptions!$A$159:$A$168,0)),'Cash flow forecast'!X$5=INDEX(Assumptions!$F$159:$F$168,MATCH('Cash flow forecast'!$B186,Assumptions!$A$159:$A$168,0))),SUMIFS(Assumptions!$B$159:$B$168,Assumptions!$A$159:$A$168,'Cash flow forecast'!$B186,Assumptions!$D$159:$D$168,"Annual"),0)),"")</f>
        <v>0</v>
      </c>
      <c r="Y186" s="222">
        <f>IFERROR(IF(INDEX(Assumptions!$D$159:$D$168,MATCH('Cash flow forecast'!$B186,Assumptions!$A$159:$A$168,0))="Monthly",(SUMIFS(Assumptions!$B$159:$B$168,Assumptions!$A$159:$A$168,'Cash flow forecast'!$B186,Assumptions!$E$159:$E$168,"&lt;="&amp;'Cash flow forecast'!Y$5))*(INDEX(Assumptions!$C$159:$C$168,MATCH('Cash flow forecast'!$B186,Assumptions!$A$159:$A$168,0))),IF(OR('Cash flow forecast'!Y$5=INDEX(Assumptions!$E$159:$E$168,MATCH('Cash flow forecast'!$B186,Assumptions!$A$159:$A$168,0)),'Cash flow forecast'!Y$5=INDEX(Assumptions!$F$159:$F$168,MATCH('Cash flow forecast'!$B186,Assumptions!$A$159:$A$168,0))),SUMIFS(Assumptions!$B$159:$B$168,Assumptions!$A$159:$A$168,'Cash flow forecast'!$B186,Assumptions!$D$159:$D$168,"Annual"),0)),"")</f>
        <v>0</v>
      </c>
      <c r="Z186" s="223">
        <f>IFERROR(IF(INDEX(Assumptions!$D$159:$D$168,MATCH('Cash flow forecast'!$B186,Assumptions!$A$159:$A$168,0))="Monthly",(SUMIFS(Assumptions!$B$159:$B$168,Assumptions!$A$159:$A$168,'Cash flow forecast'!$B186,Assumptions!$E$159:$E$168,"&lt;="&amp;'Cash flow forecast'!Z$5))*(INDEX(Assumptions!$C$159:$C$168,MATCH('Cash flow forecast'!$B186,Assumptions!$A$159:$A$168,0))),IF(OR('Cash flow forecast'!Z$5=INDEX(Assumptions!$E$159:$E$168,MATCH('Cash flow forecast'!$B186,Assumptions!$A$159:$A$168,0)),'Cash flow forecast'!Z$5=INDEX(Assumptions!$F$159:$F$168,MATCH('Cash flow forecast'!$B186,Assumptions!$A$159:$A$168,0))),SUMIFS(Assumptions!$B$159:$B$168,Assumptions!$A$159:$A$168,'Cash flow forecast'!$B186,Assumptions!$D$159:$D$168,"Annual"),0)),"")</f>
        <v>0</v>
      </c>
      <c r="AA186" s="221">
        <f t="shared" si="180"/>
        <v>10</v>
      </c>
      <c r="AB186" s="222">
        <f t="shared" si="180"/>
        <v>0</v>
      </c>
      <c r="AC186" s="222">
        <f t="shared" si="180"/>
        <v>0</v>
      </c>
      <c r="AD186" s="222">
        <f t="shared" si="180"/>
        <v>0</v>
      </c>
      <c r="AE186" s="225">
        <f t="shared" si="173"/>
        <v>10</v>
      </c>
      <c r="AF186" s="221">
        <f t="shared" si="176"/>
        <v>10</v>
      </c>
      <c r="AG186" s="222">
        <f t="shared" si="181"/>
        <v>0</v>
      </c>
      <c r="AH186" s="222">
        <f t="shared" si="181"/>
        <v>0</v>
      </c>
      <c r="AI186" s="223">
        <f t="shared" si="181"/>
        <v>0</v>
      </c>
      <c r="AJ186" s="225">
        <f t="shared" si="177"/>
        <v>10</v>
      </c>
      <c r="AK186" s="243">
        <f t="shared" si="182"/>
        <v>1.9562831491364504E-5</v>
      </c>
    </row>
    <row r="187" spans="2:37" ht="22.15" hidden="1" customHeight="1" outlineLevel="1" x14ac:dyDescent="0.25">
      <c r="B187" s="91" t="str">
        <f>Assumptions!A165</f>
        <v>Test 7</v>
      </c>
      <c r="C187" s="221">
        <f>IFERROR(IF(INDEX(Assumptions!$D$159:$D$168,MATCH('Cash flow forecast'!$B187,Assumptions!$A$159:$A$168,0))="Monthly",(SUMIFS(Assumptions!$B$159:$B$168,Assumptions!$A$159:$A$168,'Cash flow forecast'!$B187,Assumptions!$E$159:$E$168,"&lt;="&amp;'Cash flow forecast'!C$5))*(INDEX(Assumptions!$C$159:$C$168,MATCH('Cash flow forecast'!$B187,Assumptions!$A$159:$A$168,0))),IF(OR('Cash flow forecast'!C$5=INDEX(Assumptions!$E$159:$E$168,MATCH('Cash flow forecast'!$B187,Assumptions!$A$159:$A$168,0)),'Cash flow forecast'!C$5=INDEX(Assumptions!$F$159:$F$168,MATCH('Cash flow forecast'!$B187,Assumptions!$A$159:$A$168,0))),SUMIFS(Assumptions!$B$159:$B$168,Assumptions!$A$159:$A$168,'Cash flow forecast'!$B187,Assumptions!$D$159:$D$168,"Annual"),0)),"")</f>
        <v>10</v>
      </c>
      <c r="D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forecast'!D$5))*(INDEX(Assumptions!$C$159:$C$168,MATCH('Cash flow forecast'!$B187,Assumptions!$A$159:$A$168,0))),IF(OR('Cash flow forecast'!D$5=INDEX(Assumptions!$E$159:$E$168,MATCH('Cash flow forecast'!$B187,Assumptions!$A$159:$A$168,0)),'Cash flow forecast'!D$5=INDEX(Assumptions!$F$159:$F$168,MATCH('Cash flow forecast'!$B187,Assumptions!$A$159:$A$168,0))),SUMIFS(Assumptions!$B$159:$B$168,Assumptions!$A$159:$A$168,'Cash flow forecast'!$B187,Assumptions!$D$159:$D$168,"Annual"),0)),"")</f>
        <v>10</v>
      </c>
      <c r="E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forecast'!E$5))*(INDEX(Assumptions!$C$159:$C$168,MATCH('Cash flow forecast'!$B187,Assumptions!$A$159:$A$168,0))),IF(OR('Cash flow forecast'!E$5=INDEX(Assumptions!$E$159:$E$168,MATCH('Cash flow forecast'!$B187,Assumptions!$A$159:$A$168,0)),'Cash flow forecast'!E$5=INDEX(Assumptions!$F$159:$F$168,MATCH('Cash flow forecast'!$B187,Assumptions!$A$159:$A$168,0))),SUMIFS(Assumptions!$B$159:$B$168,Assumptions!$A$159:$A$168,'Cash flow forecast'!$B187,Assumptions!$D$159:$D$168,"Annual"),0)),"")</f>
        <v>10</v>
      </c>
      <c r="F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forecast'!F$5))*(INDEX(Assumptions!$C$159:$C$168,MATCH('Cash flow forecast'!$B187,Assumptions!$A$159:$A$168,0))),IF(OR('Cash flow forecast'!F$5=INDEX(Assumptions!$E$159:$E$168,MATCH('Cash flow forecast'!$B187,Assumptions!$A$159:$A$168,0)),'Cash flow forecast'!F$5=INDEX(Assumptions!$F$159:$F$168,MATCH('Cash flow forecast'!$B187,Assumptions!$A$159:$A$168,0))),SUMIFS(Assumptions!$B$159:$B$168,Assumptions!$A$159:$A$168,'Cash flow forecast'!$B187,Assumptions!$D$159:$D$168,"Annual"),0)),"")</f>
        <v>10</v>
      </c>
      <c r="G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forecast'!G$5))*(INDEX(Assumptions!$C$159:$C$168,MATCH('Cash flow forecast'!$B187,Assumptions!$A$159:$A$168,0))),IF(OR('Cash flow forecast'!G$5=INDEX(Assumptions!$E$159:$E$168,MATCH('Cash flow forecast'!$B187,Assumptions!$A$159:$A$168,0)),'Cash flow forecast'!G$5=INDEX(Assumptions!$F$159:$F$168,MATCH('Cash flow forecast'!$B187,Assumptions!$A$159:$A$168,0))),SUMIFS(Assumptions!$B$159:$B$168,Assumptions!$A$159:$A$168,'Cash flow forecast'!$B187,Assumptions!$D$159:$D$168,"Annual"),0)),"")</f>
        <v>10</v>
      </c>
      <c r="H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forecast'!H$5))*(INDEX(Assumptions!$C$159:$C$168,MATCH('Cash flow forecast'!$B187,Assumptions!$A$159:$A$168,0))),IF(OR('Cash flow forecast'!H$5=INDEX(Assumptions!$E$159:$E$168,MATCH('Cash flow forecast'!$B187,Assumptions!$A$159:$A$168,0)),'Cash flow forecast'!H$5=INDEX(Assumptions!$F$159:$F$168,MATCH('Cash flow forecast'!$B187,Assumptions!$A$159:$A$168,0))),SUMIFS(Assumptions!$B$159:$B$168,Assumptions!$A$159:$A$168,'Cash flow forecast'!$B187,Assumptions!$D$159:$D$168,"Annual"),0)),"")</f>
        <v>10</v>
      </c>
      <c r="I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forecast'!I$5))*(INDEX(Assumptions!$C$159:$C$168,MATCH('Cash flow forecast'!$B187,Assumptions!$A$159:$A$168,0))),IF(OR('Cash flow forecast'!I$5=INDEX(Assumptions!$E$159:$E$168,MATCH('Cash flow forecast'!$B187,Assumptions!$A$159:$A$168,0)),'Cash flow forecast'!I$5=INDEX(Assumptions!$F$159:$F$168,MATCH('Cash flow forecast'!$B187,Assumptions!$A$159:$A$168,0))),SUMIFS(Assumptions!$B$159:$B$168,Assumptions!$A$159:$A$168,'Cash flow forecast'!$B187,Assumptions!$D$159:$D$168,"Annual"),0)),"")</f>
        <v>10</v>
      </c>
      <c r="J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forecast'!J$5))*(INDEX(Assumptions!$C$159:$C$168,MATCH('Cash flow forecast'!$B187,Assumptions!$A$159:$A$168,0))),IF(OR('Cash flow forecast'!J$5=INDEX(Assumptions!$E$159:$E$168,MATCH('Cash flow forecast'!$B187,Assumptions!$A$159:$A$168,0)),'Cash flow forecast'!J$5=INDEX(Assumptions!$F$159:$F$168,MATCH('Cash flow forecast'!$B187,Assumptions!$A$159:$A$168,0))),SUMIFS(Assumptions!$B$159:$B$168,Assumptions!$A$159:$A$168,'Cash flow forecast'!$B187,Assumptions!$D$159:$D$168,"Annual"),0)),"")</f>
        <v>10</v>
      </c>
      <c r="K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forecast'!K$5))*(INDEX(Assumptions!$C$159:$C$168,MATCH('Cash flow forecast'!$B187,Assumptions!$A$159:$A$168,0))),IF(OR('Cash flow forecast'!K$5=INDEX(Assumptions!$E$159:$E$168,MATCH('Cash flow forecast'!$B187,Assumptions!$A$159:$A$168,0)),'Cash flow forecast'!K$5=INDEX(Assumptions!$F$159:$F$168,MATCH('Cash flow forecast'!$B187,Assumptions!$A$159:$A$168,0))),SUMIFS(Assumptions!$B$159:$B$168,Assumptions!$A$159:$A$168,'Cash flow forecast'!$B187,Assumptions!$D$159:$D$168,"Annual"),0)),"")</f>
        <v>10</v>
      </c>
      <c r="L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forecast'!L$5))*(INDEX(Assumptions!$C$159:$C$168,MATCH('Cash flow forecast'!$B187,Assumptions!$A$159:$A$168,0))),IF(OR('Cash flow forecast'!L$5=INDEX(Assumptions!$E$159:$E$168,MATCH('Cash flow forecast'!$B187,Assumptions!$A$159:$A$168,0)),'Cash flow forecast'!L$5=INDEX(Assumptions!$F$159:$F$168,MATCH('Cash flow forecast'!$B187,Assumptions!$A$159:$A$168,0))),SUMIFS(Assumptions!$B$159:$B$168,Assumptions!$A$159:$A$168,'Cash flow forecast'!$B187,Assumptions!$D$159:$D$168,"Annual"),0)),"")</f>
        <v>10</v>
      </c>
      <c r="M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forecast'!M$5))*(INDEX(Assumptions!$C$159:$C$168,MATCH('Cash flow forecast'!$B187,Assumptions!$A$159:$A$168,0))),IF(OR('Cash flow forecast'!M$5=INDEX(Assumptions!$E$159:$E$168,MATCH('Cash flow forecast'!$B187,Assumptions!$A$159:$A$168,0)),'Cash flow forecast'!M$5=INDEX(Assumptions!$F$159:$F$168,MATCH('Cash flow forecast'!$B187,Assumptions!$A$159:$A$168,0))),SUMIFS(Assumptions!$B$159:$B$168,Assumptions!$A$159:$A$168,'Cash flow forecast'!$B187,Assumptions!$D$159:$D$168,"Annual"),0)),"")</f>
        <v>10</v>
      </c>
      <c r="N187" s="223">
        <f>IFERROR(IF(INDEX(Assumptions!$D$159:$D$168,MATCH('Cash flow forecast'!$B187,Assumptions!$A$159:$A$168,0))="Monthly",(SUMIFS(Assumptions!$B$159:$B$168,Assumptions!$A$159:$A$168,'Cash flow forecast'!$B187,Assumptions!$E$159:$E$168,"&lt;="&amp;'Cash flow forecast'!N$5))*(INDEX(Assumptions!$C$159:$C$168,MATCH('Cash flow forecast'!$B187,Assumptions!$A$159:$A$168,0))),IF(OR('Cash flow forecast'!N$5=INDEX(Assumptions!$E$159:$E$168,MATCH('Cash flow forecast'!$B187,Assumptions!$A$159:$A$168,0)),'Cash flow forecast'!N$5=INDEX(Assumptions!$F$159:$F$168,MATCH('Cash flow forecast'!$B187,Assumptions!$A$159:$A$168,0))),SUMIFS(Assumptions!$B$159:$B$168,Assumptions!$A$159:$A$168,'Cash flow forecast'!$B187,Assumptions!$D$159:$D$168,"Annual"),0)),"")</f>
        <v>10</v>
      </c>
      <c r="O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forecast'!O$5))*(INDEX(Assumptions!$C$159:$C$168,MATCH('Cash flow forecast'!$B187,Assumptions!$A$159:$A$168,0))),IF(OR('Cash flow forecast'!O$5=INDEX(Assumptions!$E$159:$E$168,MATCH('Cash flow forecast'!$B187,Assumptions!$A$159:$A$168,0)),'Cash flow forecast'!O$5=INDEX(Assumptions!$F$159:$F$168,MATCH('Cash flow forecast'!$B187,Assumptions!$A$159:$A$168,0))),SUMIFS(Assumptions!$B$159:$B$168,Assumptions!$A$159:$A$168,'Cash flow forecast'!$B187,Assumptions!$D$159:$D$168,"Annual"),0)),"")</f>
        <v>10</v>
      </c>
      <c r="P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forecast'!P$5))*(INDEX(Assumptions!$C$159:$C$168,MATCH('Cash flow forecast'!$B187,Assumptions!$A$159:$A$168,0))),IF(OR('Cash flow forecast'!P$5=INDEX(Assumptions!$E$159:$E$168,MATCH('Cash flow forecast'!$B187,Assumptions!$A$159:$A$168,0)),'Cash flow forecast'!P$5=INDEX(Assumptions!$F$159:$F$168,MATCH('Cash flow forecast'!$B187,Assumptions!$A$159:$A$168,0))),SUMIFS(Assumptions!$B$159:$B$168,Assumptions!$A$159:$A$168,'Cash flow forecast'!$B187,Assumptions!$D$159:$D$168,"Annual"),0)),"")</f>
        <v>10</v>
      </c>
      <c r="Q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forecast'!Q$5))*(INDEX(Assumptions!$C$159:$C$168,MATCH('Cash flow forecast'!$B187,Assumptions!$A$159:$A$168,0))),IF(OR('Cash flow forecast'!Q$5=INDEX(Assumptions!$E$159:$E$168,MATCH('Cash flow forecast'!$B187,Assumptions!$A$159:$A$168,0)),'Cash flow forecast'!Q$5=INDEX(Assumptions!$F$159:$F$168,MATCH('Cash flow forecast'!$B187,Assumptions!$A$159:$A$168,0))),SUMIFS(Assumptions!$B$159:$B$168,Assumptions!$A$159:$A$168,'Cash flow forecast'!$B187,Assumptions!$D$159:$D$168,"Annual"),0)),"")</f>
        <v>10</v>
      </c>
      <c r="R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forecast'!R$5))*(INDEX(Assumptions!$C$159:$C$168,MATCH('Cash flow forecast'!$B187,Assumptions!$A$159:$A$168,0))),IF(OR('Cash flow forecast'!R$5=INDEX(Assumptions!$E$159:$E$168,MATCH('Cash flow forecast'!$B187,Assumptions!$A$159:$A$168,0)),'Cash flow forecast'!R$5=INDEX(Assumptions!$F$159:$F$168,MATCH('Cash flow forecast'!$B187,Assumptions!$A$159:$A$168,0))),SUMIFS(Assumptions!$B$159:$B$168,Assumptions!$A$159:$A$168,'Cash flow forecast'!$B187,Assumptions!$D$159:$D$168,"Annual"),0)),"")</f>
        <v>10</v>
      </c>
      <c r="S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forecast'!S$5))*(INDEX(Assumptions!$C$159:$C$168,MATCH('Cash flow forecast'!$B187,Assumptions!$A$159:$A$168,0))),IF(OR('Cash flow forecast'!S$5=INDEX(Assumptions!$E$159:$E$168,MATCH('Cash flow forecast'!$B187,Assumptions!$A$159:$A$168,0)),'Cash flow forecast'!S$5=INDEX(Assumptions!$F$159:$F$168,MATCH('Cash flow forecast'!$B187,Assumptions!$A$159:$A$168,0))),SUMIFS(Assumptions!$B$159:$B$168,Assumptions!$A$159:$A$168,'Cash flow forecast'!$B187,Assumptions!$D$159:$D$168,"Annual"),0)),"")</f>
        <v>10</v>
      </c>
      <c r="T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forecast'!T$5))*(INDEX(Assumptions!$C$159:$C$168,MATCH('Cash flow forecast'!$B187,Assumptions!$A$159:$A$168,0))),IF(OR('Cash flow forecast'!T$5=INDEX(Assumptions!$E$159:$E$168,MATCH('Cash flow forecast'!$B187,Assumptions!$A$159:$A$168,0)),'Cash flow forecast'!T$5=INDEX(Assumptions!$F$159:$F$168,MATCH('Cash flow forecast'!$B187,Assumptions!$A$159:$A$168,0))),SUMIFS(Assumptions!$B$159:$B$168,Assumptions!$A$159:$A$168,'Cash flow forecast'!$B187,Assumptions!$D$159:$D$168,"Annual"),0)),"")</f>
        <v>10</v>
      </c>
      <c r="U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forecast'!U$5))*(INDEX(Assumptions!$C$159:$C$168,MATCH('Cash flow forecast'!$B187,Assumptions!$A$159:$A$168,0))),IF(OR('Cash flow forecast'!U$5=INDEX(Assumptions!$E$159:$E$168,MATCH('Cash flow forecast'!$B187,Assumptions!$A$159:$A$168,0)),'Cash flow forecast'!U$5=INDEX(Assumptions!$F$159:$F$168,MATCH('Cash flow forecast'!$B187,Assumptions!$A$159:$A$168,0))),SUMIFS(Assumptions!$B$159:$B$168,Assumptions!$A$159:$A$168,'Cash flow forecast'!$B187,Assumptions!$D$159:$D$168,"Annual"),0)),"")</f>
        <v>10</v>
      </c>
      <c r="V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forecast'!V$5))*(INDEX(Assumptions!$C$159:$C$168,MATCH('Cash flow forecast'!$B187,Assumptions!$A$159:$A$168,0))),IF(OR('Cash flow forecast'!V$5=INDEX(Assumptions!$E$159:$E$168,MATCH('Cash flow forecast'!$B187,Assumptions!$A$159:$A$168,0)),'Cash flow forecast'!V$5=INDEX(Assumptions!$F$159:$F$168,MATCH('Cash flow forecast'!$B187,Assumptions!$A$159:$A$168,0))),SUMIFS(Assumptions!$B$159:$B$168,Assumptions!$A$159:$A$168,'Cash flow forecast'!$B187,Assumptions!$D$159:$D$168,"Annual"),0)),"")</f>
        <v>10</v>
      </c>
      <c r="W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forecast'!W$5))*(INDEX(Assumptions!$C$159:$C$168,MATCH('Cash flow forecast'!$B187,Assumptions!$A$159:$A$168,0))),IF(OR('Cash flow forecast'!W$5=INDEX(Assumptions!$E$159:$E$168,MATCH('Cash flow forecast'!$B187,Assumptions!$A$159:$A$168,0)),'Cash flow forecast'!W$5=INDEX(Assumptions!$F$159:$F$168,MATCH('Cash flow forecast'!$B187,Assumptions!$A$159:$A$168,0))),SUMIFS(Assumptions!$B$159:$B$168,Assumptions!$A$159:$A$168,'Cash flow forecast'!$B187,Assumptions!$D$159:$D$168,"Annual"),0)),"")</f>
        <v>10</v>
      </c>
      <c r="X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forecast'!X$5))*(INDEX(Assumptions!$C$159:$C$168,MATCH('Cash flow forecast'!$B187,Assumptions!$A$159:$A$168,0))),IF(OR('Cash flow forecast'!X$5=INDEX(Assumptions!$E$159:$E$168,MATCH('Cash flow forecast'!$B187,Assumptions!$A$159:$A$168,0)),'Cash flow forecast'!X$5=INDEX(Assumptions!$F$159:$F$168,MATCH('Cash flow forecast'!$B187,Assumptions!$A$159:$A$168,0))),SUMIFS(Assumptions!$B$159:$B$168,Assumptions!$A$159:$A$168,'Cash flow forecast'!$B187,Assumptions!$D$159:$D$168,"Annual"),0)),"")</f>
        <v>10</v>
      </c>
      <c r="Y187" s="222">
        <f>IFERROR(IF(INDEX(Assumptions!$D$159:$D$168,MATCH('Cash flow forecast'!$B187,Assumptions!$A$159:$A$168,0))="Monthly",(SUMIFS(Assumptions!$B$159:$B$168,Assumptions!$A$159:$A$168,'Cash flow forecast'!$B187,Assumptions!$E$159:$E$168,"&lt;="&amp;'Cash flow forecast'!Y$5))*(INDEX(Assumptions!$C$159:$C$168,MATCH('Cash flow forecast'!$B187,Assumptions!$A$159:$A$168,0))),IF(OR('Cash flow forecast'!Y$5=INDEX(Assumptions!$E$159:$E$168,MATCH('Cash flow forecast'!$B187,Assumptions!$A$159:$A$168,0)),'Cash flow forecast'!Y$5=INDEX(Assumptions!$F$159:$F$168,MATCH('Cash flow forecast'!$B187,Assumptions!$A$159:$A$168,0))),SUMIFS(Assumptions!$B$159:$B$168,Assumptions!$A$159:$A$168,'Cash flow forecast'!$B187,Assumptions!$D$159:$D$168,"Annual"),0)),"")</f>
        <v>10</v>
      </c>
      <c r="Z187" s="223">
        <f>IFERROR(IF(INDEX(Assumptions!$D$159:$D$168,MATCH('Cash flow forecast'!$B187,Assumptions!$A$159:$A$168,0))="Monthly",(SUMIFS(Assumptions!$B$159:$B$168,Assumptions!$A$159:$A$168,'Cash flow forecast'!$B187,Assumptions!$E$159:$E$168,"&lt;="&amp;'Cash flow forecast'!Z$5))*(INDEX(Assumptions!$C$159:$C$168,MATCH('Cash flow forecast'!$B187,Assumptions!$A$159:$A$168,0))),IF(OR('Cash flow forecast'!Z$5=INDEX(Assumptions!$E$159:$E$168,MATCH('Cash flow forecast'!$B187,Assumptions!$A$159:$A$168,0)),'Cash flow forecast'!Z$5=INDEX(Assumptions!$F$159:$F$168,MATCH('Cash flow forecast'!$B187,Assumptions!$A$159:$A$168,0))),SUMIFS(Assumptions!$B$159:$B$168,Assumptions!$A$159:$A$168,'Cash flow forecast'!$B187,Assumptions!$D$159:$D$168,"Annual"),0)),"")</f>
        <v>10</v>
      </c>
      <c r="AA187" s="221">
        <f t="shared" si="180"/>
        <v>30</v>
      </c>
      <c r="AB187" s="222">
        <f t="shared" si="180"/>
        <v>30</v>
      </c>
      <c r="AC187" s="222">
        <f t="shared" si="180"/>
        <v>30</v>
      </c>
      <c r="AD187" s="222">
        <f t="shared" si="180"/>
        <v>30</v>
      </c>
      <c r="AE187" s="225">
        <f t="shared" si="173"/>
        <v>120</v>
      </c>
      <c r="AF187" s="221">
        <f t="shared" si="176"/>
        <v>30</v>
      </c>
      <c r="AG187" s="222">
        <f t="shared" si="181"/>
        <v>30</v>
      </c>
      <c r="AH187" s="222">
        <f t="shared" si="181"/>
        <v>30</v>
      </c>
      <c r="AI187" s="223">
        <f t="shared" si="181"/>
        <v>30</v>
      </c>
      <c r="AJ187" s="225">
        <f t="shared" si="177"/>
        <v>120</v>
      </c>
      <c r="AK187" s="243">
        <f t="shared" si="182"/>
        <v>2.3475397789637405E-4</v>
      </c>
    </row>
    <row r="188" spans="2:37" ht="22.15" hidden="1" customHeight="1" outlineLevel="1" x14ac:dyDescent="0.25">
      <c r="B188" s="91" t="str">
        <f>Assumptions!A166</f>
        <v>Test 8</v>
      </c>
      <c r="C188" s="221">
        <f>IFERROR(IF(INDEX(Assumptions!$D$159:$D$168,MATCH('Cash flow forecast'!$B188,Assumptions!$A$159:$A$168,0))="Monthly",(SUMIFS(Assumptions!$B$159:$B$168,Assumptions!$A$159:$A$168,'Cash flow forecast'!$B188,Assumptions!$E$159:$E$168,"&lt;="&amp;'Cash flow forecast'!C$5))*(INDEX(Assumptions!$C$159:$C$168,MATCH('Cash flow forecast'!$B188,Assumptions!$A$159:$A$168,0))),IF(OR('Cash flow forecast'!C$5=INDEX(Assumptions!$E$159:$E$168,MATCH('Cash flow forecast'!$B188,Assumptions!$A$159:$A$168,0)),'Cash flow forecast'!C$5=INDEX(Assumptions!$F$159:$F$168,MATCH('Cash flow forecast'!$B188,Assumptions!$A$159:$A$168,0))),SUMIFS(Assumptions!$B$159:$B$168,Assumptions!$A$159:$A$168,'Cash flow forecast'!$B188,Assumptions!$D$159:$D$168,"Annual"),0)),"")</f>
        <v>10</v>
      </c>
      <c r="D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forecast'!D$5))*(INDEX(Assumptions!$C$159:$C$168,MATCH('Cash flow forecast'!$B188,Assumptions!$A$159:$A$168,0))),IF(OR('Cash flow forecast'!D$5=INDEX(Assumptions!$E$159:$E$168,MATCH('Cash flow forecast'!$B188,Assumptions!$A$159:$A$168,0)),'Cash flow forecast'!D$5=INDEX(Assumptions!$F$159:$F$168,MATCH('Cash flow forecast'!$B188,Assumptions!$A$159:$A$168,0))),SUMIFS(Assumptions!$B$159:$B$168,Assumptions!$A$159:$A$168,'Cash flow forecast'!$B188,Assumptions!$D$159:$D$168,"Annual"),0)),"")</f>
        <v>0</v>
      </c>
      <c r="E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forecast'!E$5))*(INDEX(Assumptions!$C$159:$C$168,MATCH('Cash flow forecast'!$B188,Assumptions!$A$159:$A$168,0))),IF(OR('Cash flow forecast'!E$5=INDEX(Assumptions!$E$159:$E$168,MATCH('Cash flow forecast'!$B188,Assumptions!$A$159:$A$168,0)),'Cash flow forecast'!E$5=INDEX(Assumptions!$F$159:$F$168,MATCH('Cash flow forecast'!$B188,Assumptions!$A$159:$A$168,0))),SUMIFS(Assumptions!$B$159:$B$168,Assumptions!$A$159:$A$168,'Cash flow forecast'!$B188,Assumptions!$D$159:$D$168,"Annual"),0)),"")</f>
        <v>0</v>
      </c>
      <c r="F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forecast'!F$5))*(INDEX(Assumptions!$C$159:$C$168,MATCH('Cash flow forecast'!$B188,Assumptions!$A$159:$A$168,0))),IF(OR('Cash flow forecast'!F$5=INDEX(Assumptions!$E$159:$E$168,MATCH('Cash flow forecast'!$B188,Assumptions!$A$159:$A$168,0)),'Cash flow forecast'!F$5=INDEX(Assumptions!$F$159:$F$168,MATCH('Cash flow forecast'!$B188,Assumptions!$A$159:$A$168,0))),SUMIFS(Assumptions!$B$159:$B$168,Assumptions!$A$159:$A$168,'Cash flow forecast'!$B188,Assumptions!$D$159:$D$168,"Annual"),0)),"")</f>
        <v>0</v>
      </c>
      <c r="G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forecast'!G$5))*(INDEX(Assumptions!$C$159:$C$168,MATCH('Cash flow forecast'!$B188,Assumptions!$A$159:$A$168,0))),IF(OR('Cash flow forecast'!G$5=INDEX(Assumptions!$E$159:$E$168,MATCH('Cash flow forecast'!$B188,Assumptions!$A$159:$A$168,0)),'Cash flow forecast'!G$5=INDEX(Assumptions!$F$159:$F$168,MATCH('Cash flow forecast'!$B188,Assumptions!$A$159:$A$168,0))),SUMIFS(Assumptions!$B$159:$B$168,Assumptions!$A$159:$A$168,'Cash flow forecast'!$B188,Assumptions!$D$159:$D$168,"Annual"),0)),"")</f>
        <v>0</v>
      </c>
      <c r="H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forecast'!H$5))*(INDEX(Assumptions!$C$159:$C$168,MATCH('Cash flow forecast'!$B188,Assumptions!$A$159:$A$168,0))),IF(OR('Cash flow forecast'!H$5=INDEX(Assumptions!$E$159:$E$168,MATCH('Cash flow forecast'!$B188,Assumptions!$A$159:$A$168,0)),'Cash flow forecast'!H$5=INDEX(Assumptions!$F$159:$F$168,MATCH('Cash flow forecast'!$B188,Assumptions!$A$159:$A$168,0))),SUMIFS(Assumptions!$B$159:$B$168,Assumptions!$A$159:$A$168,'Cash flow forecast'!$B188,Assumptions!$D$159:$D$168,"Annual"),0)),"")</f>
        <v>0</v>
      </c>
      <c r="I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forecast'!I$5))*(INDEX(Assumptions!$C$159:$C$168,MATCH('Cash flow forecast'!$B188,Assumptions!$A$159:$A$168,0))),IF(OR('Cash flow forecast'!I$5=INDEX(Assumptions!$E$159:$E$168,MATCH('Cash flow forecast'!$B188,Assumptions!$A$159:$A$168,0)),'Cash flow forecast'!I$5=INDEX(Assumptions!$F$159:$F$168,MATCH('Cash flow forecast'!$B188,Assumptions!$A$159:$A$168,0))),SUMIFS(Assumptions!$B$159:$B$168,Assumptions!$A$159:$A$168,'Cash flow forecast'!$B188,Assumptions!$D$159:$D$168,"Annual"),0)),"")</f>
        <v>0</v>
      </c>
      <c r="J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forecast'!J$5))*(INDEX(Assumptions!$C$159:$C$168,MATCH('Cash flow forecast'!$B188,Assumptions!$A$159:$A$168,0))),IF(OR('Cash flow forecast'!J$5=INDEX(Assumptions!$E$159:$E$168,MATCH('Cash flow forecast'!$B188,Assumptions!$A$159:$A$168,0)),'Cash flow forecast'!J$5=INDEX(Assumptions!$F$159:$F$168,MATCH('Cash flow forecast'!$B188,Assumptions!$A$159:$A$168,0))),SUMIFS(Assumptions!$B$159:$B$168,Assumptions!$A$159:$A$168,'Cash flow forecast'!$B188,Assumptions!$D$159:$D$168,"Annual"),0)),"")</f>
        <v>0</v>
      </c>
      <c r="K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forecast'!K$5))*(INDEX(Assumptions!$C$159:$C$168,MATCH('Cash flow forecast'!$B188,Assumptions!$A$159:$A$168,0))),IF(OR('Cash flow forecast'!K$5=INDEX(Assumptions!$E$159:$E$168,MATCH('Cash flow forecast'!$B188,Assumptions!$A$159:$A$168,0)),'Cash flow forecast'!K$5=INDEX(Assumptions!$F$159:$F$168,MATCH('Cash flow forecast'!$B188,Assumptions!$A$159:$A$168,0))),SUMIFS(Assumptions!$B$159:$B$168,Assumptions!$A$159:$A$168,'Cash flow forecast'!$B188,Assumptions!$D$159:$D$168,"Annual"),0)),"")</f>
        <v>0</v>
      </c>
      <c r="L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forecast'!L$5))*(INDEX(Assumptions!$C$159:$C$168,MATCH('Cash flow forecast'!$B188,Assumptions!$A$159:$A$168,0))),IF(OR('Cash flow forecast'!L$5=INDEX(Assumptions!$E$159:$E$168,MATCH('Cash flow forecast'!$B188,Assumptions!$A$159:$A$168,0)),'Cash flow forecast'!L$5=INDEX(Assumptions!$F$159:$F$168,MATCH('Cash flow forecast'!$B188,Assumptions!$A$159:$A$168,0))),SUMIFS(Assumptions!$B$159:$B$168,Assumptions!$A$159:$A$168,'Cash flow forecast'!$B188,Assumptions!$D$159:$D$168,"Annual"),0)),"")</f>
        <v>0</v>
      </c>
      <c r="M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forecast'!M$5))*(INDEX(Assumptions!$C$159:$C$168,MATCH('Cash flow forecast'!$B188,Assumptions!$A$159:$A$168,0))),IF(OR('Cash flow forecast'!M$5=INDEX(Assumptions!$E$159:$E$168,MATCH('Cash flow forecast'!$B188,Assumptions!$A$159:$A$168,0)),'Cash flow forecast'!M$5=INDEX(Assumptions!$F$159:$F$168,MATCH('Cash flow forecast'!$B188,Assumptions!$A$159:$A$168,0))),SUMIFS(Assumptions!$B$159:$B$168,Assumptions!$A$159:$A$168,'Cash flow forecast'!$B188,Assumptions!$D$159:$D$168,"Annual"),0)),"")</f>
        <v>0</v>
      </c>
      <c r="N188" s="223">
        <f>IFERROR(IF(INDEX(Assumptions!$D$159:$D$168,MATCH('Cash flow forecast'!$B188,Assumptions!$A$159:$A$168,0))="Monthly",(SUMIFS(Assumptions!$B$159:$B$168,Assumptions!$A$159:$A$168,'Cash flow forecast'!$B188,Assumptions!$E$159:$E$168,"&lt;="&amp;'Cash flow forecast'!N$5))*(INDEX(Assumptions!$C$159:$C$168,MATCH('Cash flow forecast'!$B188,Assumptions!$A$159:$A$168,0))),IF(OR('Cash flow forecast'!N$5=INDEX(Assumptions!$E$159:$E$168,MATCH('Cash flow forecast'!$B188,Assumptions!$A$159:$A$168,0)),'Cash flow forecast'!N$5=INDEX(Assumptions!$F$159:$F$168,MATCH('Cash flow forecast'!$B188,Assumptions!$A$159:$A$168,0))),SUMIFS(Assumptions!$B$159:$B$168,Assumptions!$A$159:$A$168,'Cash flow forecast'!$B188,Assumptions!$D$159:$D$168,"Annual"),0)),"")</f>
        <v>0</v>
      </c>
      <c r="O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forecast'!O$5))*(INDEX(Assumptions!$C$159:$C$168,MATCH('Cash flow forecast'!$B188,Assumptions!$A$159:$A$168,0))),IF(OR('Cash flow forecast'!O$5=INDEX(Assumptions!$E$159:$E$168,MATCH('Cash flow forecast'!$B188,Assumptions!$A$159:$A$168,0)),'Cash flow forecast'!O$5=INDEX(Assumptions!$F$159:$F$168,MATCH('Cash flow forecast'!$B188,Assumptions!$A$159:$A$168,0))),SUMIFS(Assumptions!$B$159:$B$168,Assumptions!$A$159:$A$168,'Cash flow forecast'!$B188,Assumptions!$D$159:$D$168,"Annual"),0)),"")</f>
        <v>10</v>
      </c>
      <c r="P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forecast'!P$5))*(INDEX(Assumptions!$C$159:$C$168,MATCH('Cash flow forecast'!$B188,Assumptions!$A$159:$A$168,0))),IF(OR('Cash flow forecast'!P$5=INDEX(Assumptions!$E$159:$E$168,MATCH('Cash flow forecast'!$B188,Assumptions!$A$159:$A$168,0)),'Cash flow forecast'!P$5=INDEX(Assumptions!$F$159:$F$168,MATCH('Cash flow forecast'!$B188,Assumptions!$A$159:$A$168,0))),SUMIFS(Assumptions!$B$159:$B$168,Assumptions!$A$159:$A$168,'Cash flow forecast'!$B188,Assumptions!$D$159:$D$168,"Annual"),0)),"")</f>
        <v>0</v>
      </c>
      <c r="Q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forecast'!Q$5))*(INDEX(Assumptions!$C$159:$C$168,MATCH('Cash flow forecast'!$B188,Assumptions!$A$159:$A$168,0))),IF(OR('Cash flow forecast'!Q$5=INDEX(Assumptions!$E$159:$E$168,MATCH('Cash flow forecast'!$B188,Assumptions!$A$159:$A$168,0)),'Cash flow forecast'!Q$5=INDEX(Assumptions!$F$159:$F$168,MATCH('Cash flow forecast'!$B188,Assumptions!$A$159:$A$168,0))),SUMIFS(Assumptions!$B$159:$B$168,Assumptions!$A$159:$A$168,'Cash flow forecast'!$B188,Assumptions!$D$159:$D$168,"Annual"),0)),"")</f>
        <v>0</v>
      </c>
      <c r="R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forecast'!R$5))*(INDEX(Assumptions!$C$159:$C$168,MATCH('Cash flow forecast'!$B188,Assumptions!$A$159:$A$168,0))),IF(OR('Cash flow forecast'!R$5=INDEX(Assumptions!$E$159:$E$168,MATCH('Cash flow forecast'!$B188,Assumptions!$A$159:$A$168,0)),'Cash flow forecast'!R$5=INDEX(Assumptions!$F$159:$F$168,MATCH('Cash flow forecast'!$B188,Assumptions!$A$159:$A$168,0))),SUMIFS(Assumptions!$B$159:$B$168,Assumptions!$A$159:$A$168,'Cash flow forecast'!$B188,Assumptions!$D$159:$D$168,"Annual"),0)),"")</f>
        <v>0</v>
      </c>
      <c r="S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forecast'!S$5))*(INDEX(Assumptions!$C$159:$C$168,MATCH('Cash flow forecast'!$B188,Assumptions!$A$159:$A$168,0))),IF(OR('Cash flow forecast'!S$5=INDEX(Assumptions!$E$159:$E$168,MATCH('Cash flow forecast'!$B188,Assumptions!$A$159:$A$168,0)),'Cash flow forecast'!S$5=INDEX(Assumptions!$F$159:$F$168,MATCH('Cash flow forecast'!$B188,Assumptions!$A$159:$A$168,0))),SUMIFS(Assumptions!$B$159:$B$168,Assumptions!$A$159:$A$168,'Cash flow forecast'!$B188,Assumptions!$D$159:$D$168,"Annual"),0)),"")</f>
        <v>0</v>
      </c>
      <c r="T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forecast'!T$5))*(INDEX(Assumptions!$C$159:$C$168,MATCH('Cash flow forecast'!$B188,Assumptions!$A$159:$A$168,0))),IF(OR('Cash flow forecast'!T$5=INDEX(Assumptions!$E$159:$E$168,MATCH('Cash flow forecast'!$B188,Assumptions!$A$159:$A$168,0)),'Cash flow forecast'!T$5=INDEX(Assumptions!$F$159:$F$168,MATCH('Cash flow forecast'!$B188,Assumptions!$A$159:$A$168,0))),SUMIFS(Assumptions!$B$159:$B$168,Assumptions!$A$159:$A$168,'Cash flow forecast'!$B188,Assumptions!$D$159:$D$168,"Annual"),0)),"")</f>
        <v>0</v>
      </c>
      <c r="U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forecast'!U$5))*(INDEX(Assumptions!$C$159:$C$168,MATCH('Cash flow forecast'!$B188,Assumptions!$A$159:$A$168,0))),IF(OR('Cash flow forecast'!U$5=INDEX(Assumptions!$E$159:$E$168,MATCH('Cash flow forecast'!$B188,Assumptions!$A$159:$A$168,0)),'Cash flow forecast'!U$5=INDEX(Assumptions!$F$159:$F$168,MATCH('Cash flow forecast'!$B188,Assumptions!$A$159:$A$168,0))),SUMIFS(Assumptions!$B$159:$B$168,Assumptions!$A$159:$A$168,'Cash flow forecast'!$B188,Assumptions!$D$159:$D$168,"Annual"),0)),"")</f>
        <v>0</v>
      </c>
      <c r="V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forecast'!V$5))*(INDEX(Assumptions!$C$159:$C$168,MATCH('Cash flow forecast'!$B188,Assumptions!$A$159:$A$168,0))),IF(OR('Cash flow forecast'!V$5=INDEX(Assumptions!$E$159:$E$168,MATCH('Cash flow forecast'!$B188,Assumptions!$A$159:$A$168,0)),'Cash flow forecast'!V$5=INDEX(Assumptions!$F$159:$F$168,MATCH('Cash flow forecast'!$B188,Assumptions!$A$159:$A$168,0))),SUMIFS(Assumptions!$B$159:$B$168,Assumptions!$A$159:$A$168,'Cash flow forecast'!$B188,Assumptions!$D$159:$D$168,"Annual"),0)),"")</f>
        <v>0</v>
      </c>
      <c r="W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forecast'!W$5))*(INDEX(Assumptions!$C$159:$C$168,MATCH('Cash flow forecast'!$B188,Assumptions!$A$159:$A$168,0))),IF(OR('Cash flow forecast'!W$5=INDEX(Assumptions!$E$159:$E$168,MATCH('Cash flow forecast'!$B188,Assumptions!$A$159:$A$168,0)),'Cash flow forecast'!W$5=INDEX(Assumptions!$F$159:$F$168,MATCH('Cash flow forecast'!$B188,Assumptions!$A$159:$A$168,0))),SUMIFS(Assumptions!$B$159:$B$168,Assumptions!$A$159:$A$168,'Cash flow forecast'!$B188,Assumptions!$D$159:$D$168,"Annual"),0)),"")</f>
        <v>0</v>
      </c>
      <c r="X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forecast'!X$5))*(INDEX(Assumptions!$C$159:$C$168,MATCH('Cash flow forecast'!$B188,Assumptions!$A$159:$A$168,0))),IF(OR('Cash flow forecast'!X$5=INDEX(Assumptions!$E$159:$E$168,MATCH('Cash flow forecast'!$B188,Assumptions!$A$159:$A$168,0)),'Cash flow forecast'!X$5=INDEX(Assumptions!$F$159:$F$168,MATCH('Cash flow forecast'!$B188,Assumptions!$A$159:$A$168,0))),SUMIFS(Assumptions!$B$159:$B$168,Assumptions!$A$159:$A$168,'Cash flow forecast'!$B188,Assumptions!$D$159:$D$168,"Annual"),0)),"")</f>
        <v>0</v>
      </c>
      <c r="Y188" s="222">
        <f>IFERROR(IF(INDEX(Assumptions!$D$159:$D$168,MATCH('Cash flow forecast'!$B188,Assumptions!$A$159:$A$168,0))="Monthly",(SUMIFS(Assumptions!$B$159:$B$168,Assumptions!$A$159:$A$168,'Cash flow forecast'!$B188,Assumptions!$E$159:$E$168,"&lt;="&amp;'Cash flow forecast'!Y$5))*(INDEX(Assumptions!$C$159:$C$168,MATCH('Cash flow forecast'!$B188,Assumptions!$A$159:$A$168,0))),IF(OR('Cash flow forecast'!Y$5=INDEX(Assumptions!$E$159:$E$168,MATCH('Cash flow forecast'!$B188,Assumptions!$A$159:$A$168,0)),'Cash flow forecast'!Y$5=INDEX(Assumptions!$F$159:$F$168,MATCH('Cash flow forecast'!$B188,Assumptions!$A$159:$A$168,0))),SUMIFS(Assumptions!$B$159:$B$168,Assumptions!$A$159:$A$168,'Cash flow forecast'!$B188,Assumptions!$D$159:$D$168,"Annual"),0)),"")</f>
        <v>0</v>
      </c>
      <c r="Z188" s="223">
        <f>IFERROR(IF(INDEX(Assumptions!$D$159:$D$168,MATCH('Cash flow forecast'!$B188,Assumptions!$A$159:$A$168,0))="Monthly",(SUMIFS(Assumptions!$B$159:$B$168,Assumptions!$A$159:$A$168,'Cash flow forecast'!$B188,Assumptions!$E$159:$E$168,"&lt;="&amp;'Cash flow forecast'!Z$5))*(INDEX(Assumptions!$C$159:$C$168,MATCH('Cash flow forecast'!$B188,Assumptions!$A$159:$A$168,0))),IF(OR('Cash flow forecast'!Z$5=INDEX(Assumptions!$E$159:$E$168,MATCH('Cash flow forecast'!$B188,Assumptions!$A$159:$A$168,0)),'Cash flow forecast'!Z$5=INDEX(Assumptions!$F$159:$F$168,MATCH('Cash flow forecast'!$B188,Assumptions!$A$159:$A$168,0))),SUMIFS(Assumptions!$B$159:$B$168,Assumptions!$A$159:$A$168,'Cash flow forecast'!$B188,Assumptions!$D$159:$D$168,"Annual"),0)),"")</f>
        <v>0</v>
      </c>
      <c r="AA188" s="221">
        <f t="shared" si="180"/>
        <v>10</v>
      </c>
      <c r="AB188" s="222">
        <f t="shared" si="180"/>
        <v>0</v>
      </c>
      <c r="AC188" s="222">
        <f t="shared" si="180"/>
        <v>0</v>
      </c>
      <c r="AD188" s="222">
        <f t="shared" si="180"/>
        <v>0</v>
      </c>
      <c r="AE188" s="225">
        <f t="shared" si="173"/>
        <v>10</v>
      </c>
      <c r="AF188" s="221">
        <f t="shared" si="176"/>
        <v>10</v>
      </c>
      <c r="AG188" s="222">
        <f t="shared" si="181"/>
        <v>0</v>
      </c>
      <c r="AH188" s="222">
        <f t="shared" si="181"/>
        <v>0</v>
      </c>
      <c r="AI188" s="223">
        <f t="shared" si="181"/>
        <v>0</v>
      </c>
      <c r="AJ188" s="225">
        <f t="shared" si="177"/>
        <v>10</v>
      </c>
      <c r="AK188" s="243">
        <f t="shared" si="182"/>
        <v>1.9562831491364504E-5</v>
      </c>
    </row>
    <row r="189" spans="2:37" ht="22.15" hidden="1" customHeight="1" outlineLevel="1" x14ac:dyDescent="0.25">
      <c r="B189" s="91" t="str">
        <f>Assumptions!A167</f>
        <v>Test 9</v>
      </c>
      <c r="C189" s="221">
        <f>IFERROR(IF(INDEX(Assumptions!$D$159:$D$168,MATCH('Cash flow forecast'!$B189,Assumptions!$A$159:$A$168,0))="Monthly",(SUMIFS(Assumptions!$B$159:$B$168,Assumptions!$A$159:$A$168,'Cash flow forecast'!$B189,Assumptions!$E$159:$E$168,"&lt;="&amp;'Cash flow forecast'!C$5))*(INDEX(Assumptions!$C$159:$C$168,MATCH('Cash flow forecast'!$B189,Assumptions!$A$159:$A$168,0))),IF(OR('Cash flow forecast'!C$5=INDEX(Assumptions!$E$159:$E$168,MATCH('Cash flow forecast'!$B189,Assumptions!$A$159:$A$168,0)),'Cash flow forecast'!C$5=INDEX(Assumptions!$F$159:$F$168,MATCH('Cash flow forecast'!$B189,Assumptions!$A$159:$A$168,0))),SUMIFS(Assumptions!$B$159:$B$168,Assumptions!$A$159:$A$168,'Cash flow forecast'!$B189,Assumptions!$D$159:$D$168,"Annual"),0)),"")</f>
        <v>40</v>
      </c>
      <c r="D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forecast'!D$5))*(INDEX(Assumptions!$C$159:$C$168,MATCH('Cash flow forecast'!$B189,Assumptions!$A$159:$A$168,0))),IF(OR('Cash flow forecast'!D$5=INDEX(Assumptions!$E$159:$E$168,MATCH('Cash flow forecast'!$B189,Assumptions!$A$159:$A$168,0)),'Cash flow forecast'!D$5=INDEX(Assumptions!$F$159:$F$168,MATCH('Cash flow forecast'!$B189,Assumptions!$A$159:$A$168,0))),SUMIFS(Assumptions!$B$159:$B$168,Assumptions!$A$159:$A$168,'Cash flow forecast'!$B189,Assumptions!$D$159:$D$168,"Annual"),0)),"")</f>
        <v>40</v>
      </c>
      <c r="E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forecast'!E$5))*(INDEX(Assumptions!$C$159:$C$168,MATCH('Cash flow forecast'!$B189,Assumptions!$A$159:$A$168,0))),IF(OR('Cash flow forecast'!E$5=INDEX(Assumptions!$E$159:$E$168,MATCH('Cash flow forecast'!$B189,Assumptions!$A$159:$A$168,0)),'Cash flow forecast'!E$5=INDEX(Assumptions!$F$159:$F$168,MATCH('Cash flow forecast'!$B189,Assumptions!$A$159:$A$168,0))),SUMIFS(Assumptions!$B$159:$B$168,Assumptions!$A$159:$A$168,'Cash flow forecast'!$B189,Assumptions!$D$159:$D$168,"Annual"),0)),"")</f>
        <v>40</v>
      </c>
      <c r="F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forecast'!F$5))*(INDEX(Assumptions!$C$159:$C$168,MATCH('Cash flow forecast'!$B189,Assumptions!$A$159:$A$168,0))),IF(OR('Cash flow forecast'!F$5=INDEX(Assumptions!$E$159:$E$168,MATCH('Cash flow forecast'!$B189,Assumptions!$A$159:$A$168,0)),'Cash flow forecast'!F$5=INDEX(Assumptions!$F$159:$F$168,MATCH('Cash flow forecast'!$B189,Assumptions!$A$159:$A$168,0))),SUMIFS(Assumptions!$B$159:$B$168,Assumptions!$A$159:$A$168,'Cash flow forecast'!$B189,Assumptions!$D$159:$D$168,"Annual"),0)),"")</f>
        <v>40</v>
      </c>
      <c r="G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forecast'!G$5))*(INDEX(Assumptions!$C$159:$C$168,MATCH('Cash flow forecast'!$B189,Assumptions!$A$159:$A$168,0))),IF(OR('Cash flow forecast'!G$5=INDEX(Assumptions!$E$159:$E$168,MATCH('Cash flow forecast'!$B189,Assumptions!$A$159:$A$168,0)),'Cash flow forecast'!G$5=INDEX(Assumptions!$F$159:$F$168,MATCH('Cash flow forecast'!$B189,Assumptions!$A$159:$A$168,0))),SUMIFS(Assumptions!$B$159:$B$168,Assumptions!$A$159:$A$168,'Cash flow forecast'!$B189,Assumptions!$D$159:$D$168,"Annual"),0)),"")</f>
        <v>40</v>
      </c>
      <c r="H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forecast'!H$5))*(INDEX(Assumptions!$C$159:$C$168,MATCH('Cash flow forecast'!$B189,Assumptions!$A$159:$A$168,0))),IF(OR('Cash flow forecast'!H$5=INDEX(Assumptions!$E$159:$E$168,MATCH('Cash flow forecast'!$B189,Assumptions!$A$159:$A$168,0)),'Cash flow forecast'!H$5=INDEX(Assumptions!$F$159:$F$168,MATCH('Cash flow forecast'!$B189,Assumptions!$A$159:$A$168,0))),SUMIFS(Assumptions!$B$159:$B$168,Assumptions!$A$159:$A$168,'Cash flow forecast'!$B189,Assumptions!$D$159:$D$168,"Annual"),0)),"")</f>
        <v>40</v>
      </c>
      <c r="I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forecast'!I$5))*(INDEX(Assumptions!$C$159:$C$168,MATCH('Cash flow forecast'!$B189,Assumptions!$A$159:$A$168,0))),IF(OR('Cash flow forecast'!I$5=INDEX(Assumptions!$E$159:$E$168,MATCH('Cash flow forecast'!$B189,Assumptions!$A$159:$A$168,0)),'Cash flow forecast'!I$5=INDEX(Assumptions!$F$159:$F$168,MATCH('Cash flow forecast'!$B189,Assumptions!$A$159:$A$168,0))),SUMIFS(Assumptions!$B$159:$B$168,Assumptions!$A$159:$A$168,'Cash flow forecast'!$B189,Assumptions!$D$159:$D$168,"Annual"),0)),"")</f>
        <v>40</v>
      </c>
      <c r="J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forecast'!J$5))*(INDEX(Assumptions!$C$159:$C$168,MATCH('Cash flow forecast'!$B189,Assumptions!$A$159:$A$168,0))),IF(OR('Cash flow forecast'!J$5=INDEX(Assumptions!$E$159:$E$168,MATCH('Cash flow forecast'!$B189,Assumptions!$A$159:$A$168,0)),'Cash flow forecast'!J$5=INDEX(Assumptions!$F$159:$F$168,MATCH('Cash flow forecast'!$B189,Assumptions!$A$159:$A$168,0))),SUMIFS(Assumptions!$B$159:$B$168,Assumptions!$A$159:$A$168,'Cash flow forecast'!$B189,Assumptions!$D$159:$D$168,"Annual"),0)),"")</f>
        <v>40</v>
      </c>
      <c r="K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forecast'!K$5))*(INDEX(Assumptions!$C$159:$C$168,MATCH('Cash flow forecast'!$B189,Assumptions!$A$159:$A$168,0))),IF(OR('Cash flow forecast'!K$5=INDEX(Assumptions!$E$159:$E$168,MATCH('Cash flow forecast'!$B189,Assumptions!$A$159:$A$168,0)),'Cash flow forecast'!K$5=INDEX(Assumptions!$F$159:$F$168,MATCH('Cash flow forecast'!$B189,Assumptions!$A$159:$A$168,0))),SUMIFS(Assumptions!$B$159:$B$168,Assumptions!$A$159:$A$168,'Cash flow forecast'!$B189,Assumptions!$D$159:$D$168,"Annual"),0)),"")</f>
        <v>40</v>
      </c>
      <c r="L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forecast'!L$5))*(INDEX(Assumptions!$C$159:$C$168,MATCH('Cash flow forecast'!$B189,Assumptions!$A$159:$A$168,0))),IF(OR('Cash flow forecast'!L$5=INDEX(Assumptions!$E$159:$E$168,MATCH('Cash flow forecast'!$B189,Assumptions!$A$159:$A$168,0)),'Cash flow forecast'!L$5=INDEX(Assumptions!$F$159:$F$168,MATCH('Cash flow forecast'!$B189,Assumptions!$A$159:$A$168,0))),SUMIFS(Assumptions!$B$159:$B$168,Assumptions!$A$159:$A$168,'Cash flow forecast'!$B189,Assumptions!$D$159:$D$168,"Annual"),0)),"")</f>
        <v>40</v>
      </c>
      <c r="M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forecast'!M$5))*(INDEX(Assumptions!$C$159:$C$168,MATCH('Cash flow forecast'!$B189,Assumptions!$A$159:$A$168,0))),IF(OR('Cash flow forecast'!M$5=INDEX(Assumptions!$E$159:$E$168,MATCH('Cash flow forecast'!$B189,Assumptions!$A$159:$A$168,0)),'Cash flow forecast'!M$5=INDEX(Assumptions!$F$159:$F$168,MATCH('Cash flow forecast'!$B189,Assumptions!$A$159:$A$168,0))),SUMIFS(Assumptions!$B$159:$B$168,Assumptions!$A$159:$A$168,'Cash flow forecast'!$B189,Assumptions!$D$159:$D$168,"Annual"),0)),"")</f>
        <v>40</v>
      </c>
      <c r="N189" s="223">
        <f>IFERROR(IF(INDEX(Assumptions!$D$159:$D$168,MATCH('Cash flow forecast'!$B189,Assumptions!$A$159:$A$168,0))="Monthly",(SUMIFS(Assumptions!$B$159:$B$168,Assumptions!$A$159:$A$168,'Cash flow forecast'!$B189,Assumptions!$E$159:$E$168,"&lt;="&amp;'Cash flow forecast'!N$5))*(INDEX(Assumptions!$C$159:$C$168,MATCH('Cash flow forecast'!$B189,Assumptions!$A$159:$A$168,0))),IF(OR('Cash flow forecast'!N$5=INDEX(Assumptions!$E$159:$E$168,MATCH('Cash flow forecast'!$B189,Assumptions!$A$159:$A$168,0)),'Cash flow forecast'!N$5=INDEX(Assumptions!$F$159:$F$168,MATCH('Cash flow forecast'!$B189,Assumptions!$A$159:$A$168,0))),SUMIFS(Assumptions!$B$159:$B$168,Assumptions!$A$159:$A$168,'Cash flow forecast'!$B189,Assumptions!$D$159:$D$168,"Annual"),0)),"")</f>
        <v>40</v>
      </c>
      <c r="O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forecast'!O$5))*(INDEX(Assumptions!$C$159:$C$168,MATCH('Cash flow forecast'!$B189,Assumptions!$A$159:$A$168,0))),IF(OR('Cash flow forecast'!O$5=INDEX(Assumptions!$E$159:$E$168,MATCH('Cash flow forecast'!$B189,Assumptions!$A$159:$A$168,0)),'Cash flow forecast'!O$5=INDEX(Assumptions!$F$159:$F$168,MATCH('Cash flow forecast'!$B189,Assumptions!$A$159:$A$168,0))),SUMIFS(Assumptions!$B$159:$B$168,Assumptions!$A$159:$A$168,'Cash flow forecast'!$B189,Assumptions!$D$159:$D$168,"Annual"),0)),"")</f>
        <v>40</v>
      </c>
      <c r="P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forecast'!P$5))*(INDEX(Assumptions!$C$159:$C$168,MATCH('Cash flow forecast'!$B189,Assumptions!$A$159:$A$168,0))),IF(OR('Cash flow forecast'!P$5=INDEX(Assumptions!$E$159:$E$168,MATCH('Cash flow forecast'!$B189,Assumptions!$A$159:$A$168,0)),'Cash flow forecast'!P$5=INDEX(Assumptions!$F$159:$F$168,MATCH('Cash flow forecast'!$B189,Assumptions!$A$159:$A$168,0))),SUMIFS(Assumptions!$B$159:$B$168,Assumptions!$A$159:$A$168,'Cash flow forecast'!$B189,Assumptions!$D$159:$D$168,"Annual"),0)),"")</f>
        <v>40</v>
      </c>
      <c r="Q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forecast'!Q$5))*(INDEX(Assumptions!$C$159:$C$168,MATCH('Cash flow forecast'!$B189,Assumptions!$A$159:$A$168,0))),IF(OR('Cash flow forecast'!Q$5=INDEX(Assumptions!$E$159:$E$168,MATCH('Cash flow forecast'!$B189,Assumptions!$A$159:$A$168,0)),'Cash flow forecast'!Q$5=INDEX(Assumptions!$F$159:$F$168,MATCH('Cash flow forecast'!$B189,Assumptions!$A$159:$A$168,0))),SUMIFS(Assumptions!$B$159:$B$168,Assumptions!$A$159:$A$168,'Cash flow forecast'!$B189,Assumptions!$D$159:$D$168,"Annual"),0)),"")</f>
        <v>40</v>
      </c>
      <c r="R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forecast'!R$5))*(INDEX(Assumptions!$C$159:$C$168,MATCH('Cash flow forecast'!$B189,Assumptions!$A$159:$A$168,0))),IF(OR('Cash flow forecast'!R$5=INDEX(Assumptions!$E$159:$E$168,MATCH('Cash flow forecast'!$B189,Assumptions!$A$159:$A$168,0)),'Cash flow forecast'!R$5=INDEX(Assumptions!$F$159:$F$168,MATCH('Cash flow forecast'!$B189,Assumptions!$A$159:$A$168,0))),SUMIFS(Assumptions!$B$159:$B$168,Assumptions!$A$159:$A$168,'Cash flow forecast'!$B189,Assumptions!$D$159:$D$168,"Annual"),0)),"")</f>
        <v>40</v>
      </c>
      <c r="S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forecast'!S$5))*(INDEX(Assumptions!$C$159:$C$168,MATCH('Cash flow forecast'!$B189,Assumptions!$A$159:$A$168,0))),IF(OR('Cash flow forecast'!S$5=INDEX(Assumptions!$E$159:$E$168,MATCH('Cash flow forecast'!$B189,Assumptions!$A$159:$A$168,0)),'Cash flow forecast'!S$5=INDEX(Assumptions!$F$159:$F$168,MATCH('Cash flow forecast'!$B189,Assumptions!$A$159:$A$168,0))),SUMIFS(Assumptions!$B$159:$B$168,Assumptions!$A$159:$A$168,'Cash flow forecast'!$B189,Assumptions!$D$159:$D$168,"Annual"),0)),"")</f>
        <v>40</v>
      </c>
      <c r="T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forecast'!T$5))*(INDEX(Assumptions!$C$159:$C$168,MATCH('Cash flow forecast'!$B189,Assumptions!$A$159:$A$168,0))),IF(OR('Cash flow forecast'!T$5=INDEX(Assumptions!$E$159:$E$168,MATCH('Cash flow forecast'!$B189,Assumptions!$A$159:$A$168,0)),'Cash flow forecast'!T$5=INDEX(Assumptions!$F$159:$F$168,MATCH('Cash flow forecast'!$B189,Assumptions!$A$159:$A$168,0))),SUMIFS(Assumptions!$B$159:$B$168,Assumptions!$A$159:$A$168,'Cash flow forecast'!$B189,Assumptions!$D$159:$D$168,"Annual"),0)),"")</f>
        <v>40</v>
      </c>
      <c r="U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forecast'!U$5))*(INDEX(Assumptions!$C$159:$C$168,MATCH('Cash flow forecast'!$B189,Assumptions!$A$159:$A$168,0))),IF(OR('Cash flow forecast'!U$5=INDEX(Assumptions!$E$159:$E$168,MATCH('Cash flow forecast'!$B189,Assumptions!$A$159:$A$168,0)),'Cash flow forecast'!U$5=INDEX(Assumptions!$F$159:$F$168,MATCH('Cash flow forecast'!$B189,Assumptions!$A$159:$A$168,0))),SUMIFS(Assumptions!$B$159:$B$168,Assumptions!$A$159:$A$168,'Cash flow forecast'!$B189,Assumptions!$D$159:$D$168,"Annual"),0)),"")</f>
        <v>40</v>
      </c>
      <c r="V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forecast'!V$5))*(INDEX(Assumptions!$C$159:$C$168,MATCH('Cash flow forecast'!$B189,Assumptions!$A$159:$A$168,0))),IF(OR('Cash flow forecast'!V$5=INDEX(Assumptions!$E$159:$E$168,MATCH('Cash flow forecast'!$B189,Assumptions!$A$159:$A$168,0)),'Cash flow forecast'!V$5=INDEX(Assumptions!$F$159:$F$168,MATCH('Cash flow forecast'!$B189,Assumptions!$A$159:$A$168,0))),SUMIFS(Assumptions!$B$159:$B$168,Assumptions!$A$159:$A$168,'Cash flow forecast'!$B189,Assumptions!$D$159:$D$168,"Annual"),0)),"")</f>
        <v>40</v>
      </c>
      <c r="W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forecast'!W$5))*(INDEX(Assumptions!$C$159:$C$168,MATCH('Cash flow forecast'!$B189,Assumptions!$A$159:$A$168,0))),IF(OR('Cash flow forecast'!W$5=INDEX(Assumptions!$E$159:$E$168,MATCH('Cash flow forecast'!$B189,Assumptions!$A$159:$A$168,0)),'Cash flow forecast'!W$5=INDEX(Assumptions!$F$159:$F$168,MATCH('Cash flow forecast'!$B189,Assumptions!$A$159:$A$168,0))),SUMIFS(Assumptions!$B$159:$B$168,Assumptions!$A$159:$A$168,'Cash flow forecast'!$B189,Assumptions!$D$159:$D$168,"Annual"),0)),"")</f>
        <v>40</v>
      </c>
      <c r="X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forecast'!X$5))*(INDEX(Assumptions!$C$159:$C$168,MATCH('Cash flow forecast'!$B189,Assumptions!$A$159:$A$168,0))),IF(OR('Cash flow forecast'!X$5=INDEX(Assumptions!$E$159:$E$168,MATCH('Cash flow forecast'!$B189,Assumptions!$A$159:$A$168,0)),'Cash flow forecast'!X$5=INDEX(Assumptions!$F$159:$F$168,MATCH('Cash flow forecast'!$B189,Assumptions!$A$159:$A$168,0))),SUMIFS(Assumptions!$B$159:$B$168,Assumptions!$A$159:$A$168,'Cash flow forecast'!$B189,Assumptions!$D$159:$D$168,"Annual"),0)),"")</f>
        <v>40</v>
      </c>
      <c r="Y189" s="222">
        <f>IFERROR(IF(INDEX(Assumptions!$D$159:$D$168,MATCH('Cash flow forecast'!$B189,Assumptions!$A$159:$A$168,0))="Monthly",(SUMIFS(Assumptions!$B$159:$B$168,Assumptions!$A$159:$A$168,'Cash flow forecast'!$B189,Assumptions!$E$159:$E$168,"&lt;="&amp;'Cash flow forecast'!Y$5))*(INDEX(Assumptions!$C$159:$C$168,MATCH('Cash flow forecast'!$B189,Assumptions!$A$159:$A$168,0))),IF(OR('Cash flow forecast'!Y$5=INDEX(Assumptions!$E$159:$E$168,MATCH('Cash flow forecast'!$B189,Assumptions!$A$159:$A$168,0)),'Cash flow forecast'!Y$5=INDEX(Assumptions!$F$159:$F$168,MATCH('Cash flow forecast'!$B189,Assumptions!$A$159:$A$168,0))),SUMIFS(Assumptions!$B$159:$B$168,Assumptions!$A$159:$A$168,'Cash flow forecast'!$B189,Assumptions!$D$159:$D$168,"Annual"),0)),"")</f>
        <v>40</v>
      </c>
      <c r="Z189" s="223">
        <f>IFERROR(IF(INDEX(Assumptions!$D$159:$D$168,MATCH('Cash flow forecast'!$B189,Assumptions!$A$159:$A$168,0))="Monthly",(SUMIFS(Assumptions!$B$159:$B$168,Assumptions!$A$159:$A$168,'Cash flow forecast'!$B189,Assumptions!$E$159:$E$168,"&lt;="&amp;'Cash flow forecast'!Z$5))*(INDEX(Assumptions!$C$159:$C$168,MATCH('Cash flow forecast'!$B189,Assumptions!$A$159:$A$168,0))),IF(OR('Cash flow forecast'!Z$5=INDEX(Assumptions!$E$159:$E$168,MATCH('Cash flow forecast'!$B189,Assumptions!$A$159:$A$168,0)),'Cash flow forecast'!Z$5=INDEX(Assumptions!$F$159:$F$168,MATCH('Cash flow forecast'!$B189,Assumptions!$A$159:$A$168,0))),SUMIFS(Assumptions!$B$159:$B$168,Assumptions!$A$159:$A$168,'Cash flow forecast'!$B189,Assumptions!$D$159:$D$168,"Annual"),0)),"")</f>
        <v>40</v>
      </c>
      <c r="AA189" s="221">
        <f t="shared" si="180"/>
        <v>120</v>
      </c>
      <c r="AB189" s="222">
        <f t="shared" si="180"/>
        <v>120</v>
      </c>
      <c r="AC189" s="222">
        <f t="shared" si="180"/>
        <v>120</v>
      </c>
      <c r="AD189" s="222">
        <f t="shared" si="180"/>
        <v>120</v>
      </c>
      <c r="AE189" s="225">
        <f t="shared" si="173"/>
        <v>480</v>
      </c>
      <c r="AF189" s="221">
        <f t="shared" si="176"/>
        <v>120</v>
      </c>
      <c r="AG189" s="222">
        <f t="shared" si="181"/>
        <v>120</v>
      </c>
      <c r="AH189" s="222">
        <f t="shared" si="181"/>
        <v>120</v>
      </c>
      <c r="AI189" s="223">
        <f t="shared" si="181"/>
        <v>120</v>
      </c>
      <c r="AJ189" s="225">
        <f t="shared" si="177"/>
        <v>480</v>
      </c>
      <c r="AK189" s="243">
        <f t="shared" si="182"/>
        <v>9.3901591158549618E-4</v>
      </c>
    </row>
    <row r="190" spans="2:37" ht="22.15" hidden="1" customHeight="1" outlineLevel="1" x14ac:dyDescent="0.25">
      <c r="B190" s="91" t="str">
        <f>Assumptions!A168</f>
        <v>Test 10</v>
      </c>
      <c r="C190" s="221">
        <f>IFERROR(IF(INDEX(Assumptions!$D$159:$D$168,MATCH('Cash flow forecast'!$B190,Assumptions!$A$159:$A$168,0))="Monthly",(SUMIFS(Assumptions!$B$159:$B$168,Assumptions!$A$159:$A$168,'Cash flow forecast'!$B190,Assumptions!$E$159:$E$168,"&lt;="&amp;'Cash flow forecast'!C$5))*(INDEX(Assumptions!$C$159:$C$168,MATCH('Cash flow forecast'!$B190,Assumptions!$A$159:$A$168,0))),IF(OR('Cash flow forecast'!C$5=INDEX(Assumptions!$E$159:$E$168,MATCH('Cash flow forecast'!$B190,Assumptions!$A$159:$A$168,0)),'Cash flow forecast'!C$5=INDEX(Assumptions!$F$159:$F$168,MATCH('Cash flow forecast'!$B190,Assumptions!$A$159:$A$168,0))),SUMIFS(Assumptions!$B$159:$B$168,Assumptions!$A$159:$A$168,'Cash flow forecast'!$B190,Assumptions!$D$159:$D$168,"Annual"),0)),"")</f>
        <v>50</v>
      </c>
      <c r="D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forecast'!D$5))*(INDEX(Assumptions!$C$159:$C$168,MATCH('Cash flow forecast'!$B190,Assumptions!$A$159:$A$168,0))),IF(OR('Cash flow forecast'!D$5=INDEX(Assumptions!$E$159:$E$168,MATCH('Cash flow forecast'!$B190,Assumptions!$A$159:$A$168,0)),'Cash flow forecast'!D$5=INDEX(Assumptions!$F$159:$F$168,MATCH('Cash flow forecast'!$B190,Assumptions!$A$159:$A$168,0))),SUMIFS(Assumptions!$B$159:$B$168,Assumptions!$A$159:$A$168,'Cash flow forecast'!$B190,Assumptions!$D$159:$D$168,"Annual"),0)),"")</f>
        <v>50</v>
      </c>
      <c r="E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forecast'!E$5))*(INDEX(Assumptions!$C$159:$C$168,MATCH('Cash flow forecast'!$B190,Assumptions!$A$159:$A$168,0))),IF(OR('Cash flow forecast'!E$5=INDEX(Assumptions!$E$159:$E$168,MATCH('Cash flow forecast'!$B190,Assumptions!$A$159:$A$168,0)),'Cash flow forecast'!E$5=INDEX(Assumptions!$F$159:$F$168,MATCH('Cash flow forecast'!$B190,Assumptions!$A$159:$A$168,0))),SUMIFS(Assumptions!$B$159:$B$168,Assumptions!$A$159:$A$168,'Cash flow forecast'!$B190,Assumptions!$D$159:$D$168,"Annual"),0)),"")</f>
        <v>50</v>
      </c>
      <c r="F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forecast'!F$5))*(INDEX(Assumptions!$C$159:$C$168,MATCH('Cash flow forecast'!$B190,Assumptions!$A$159:$A$168,0))),IF(OR('Cash flow forecast'!F$5=INDEX(Assumptions!$E$159:$E$168,MATCH('Cash flow forecast'!$B190,Assumptions!$A$159:$A$168,0)),'Cash flow forecast'!F$5=INDEX(Assumptions!$F$159:$F$168,MATCH('Cash flow forecast'!$B190,Assumptions!$A$159:$A$168,0))),SUMIFS(Assumptions!$B$159:$B$168,Assumptions!$A$159:$A$168,'Cash flow forecast'!$B190,Assumptions!$D$159:$D$168,"Annual"),0)),"")</f>
        <v>50</v>
      </c>
      <c r="G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forecast'!G$5))*(INDEX(Assumptions!$C$159:$C$168,MATCH('Cash flow forecast'!$B190,Assumptions!$A$159:$A$168,0))),IF(OR('Cash flow forecast'!G$5=INDEX(Assumptions!$E$159:$E$168,MATCH('Cash flow forecast'!$B190,Assumptions!$A$159:$A$168,0)),'Cash flow forecast'!G$5=INDEX(Assumptions!$F$159:$F$168,MATCH('Cash flow forecast'!$B190,Assumptions!$A$159:$A$168,0))),SUMIFS(Assumptions!$B$159:$B$168,Assumptions!$A$159:$A$168,'Cash flow forecast'!$B190,Assumptions!$D$159:$D$168,"Annual"),0)),"")</f>
        <v>50</v>
      </c>
      <c r="H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forecast'!H$5))*(INDEX(Assumptions!$C$159:$C$168,MATCH('Cash flow forecast'!$B190,Assumptions!$A$159:$A$168,0))),IF(OR('Cash flow forecast'!H$5=INDEX(Assumptions!$E$159:$E$168,MATCH('Cash flow forecast'!$B190,Assumptions!$A$159:$A$168,0)),'Cash flow forecast'!H$5=INDEX(Assumptions!$F$159:$F$168,MATCH('Cash flow forecast'!$B190,Assumptions!$A$159:$A$168,0))),SUMIFS(Assumptions!$B$159:$B$168,Assumptions!$A$159:$A$168,'Cash flow forecast'!$B190,Assumptions!$D$159:$D$168,"Annual"),0)),"")</f>
        <v>50</v>
      </c>
      <c r="I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forecast'!I$5))*(INDEX(Assumptions!$C$159:$C$168,MATCH('Cash flow forecast'!$B190,Assumptions!$A$159:$A$168,0))),IF(OR('Cash flow forecast'!I$5=INDEX(Assumptions!$E$159:$E$168,MATCH('Cash flow forecast'!$B190,Assumptions!$A$159:$A$168,0)),'Cash flow forecast'!I$5=INDEX(Assumptions!$F$159:$F$168,MATCH('Cash flow forecast'!$B190,Assumptions!$A$159:$A$168,0))),SUMIFS(Assumptions!$B$159:$B$168,Assumptions!$A$159:$A$168,'Cash flow forecast'!$B190,Assumptions!$D$159:$D$168,"Annual"),0)),"")</f>
        <v>50</v>
      </c>
      <c r="J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forecast'!J$5))*(INDEX(Assumptions!$C$159:$C$168,MATCH('Cash flow forecast'!$B190,Assumptions!$A$159:$A$168,0))),IF(OR('Cash flow forecast'!J$5=INDEX(Assumptions!$E$159:$E$168,MATCH('Cash flow forecast'!$B190,Assumptions!$A$159:$A$168,0)),'Cash flow forecast'!J$5=INDEX(Assumptions!$F$159:$F$168,MATCH('Cash flow forecast'!$B190,Assumptions!$A$159:$A$168,0))),SUMIFS(Assumptions!$B$159:$B$168,Assumptions!$A$159:$A$168,'Cash flow forecast'!$B190,Assumptions!$D$159:$D$168,"Annual"),0)),"")</f>
        <v>50</v>
      </c>
      <c r="K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forecast'!K$5))*(INDEX(Assumptions!$C$159:$C$168,MATCH('Cash flow forecast'!$B190,Assumptions!$A$159:$A$168,0))),IF(OR('Cash flow forecast'!K$5=INDEX(Assumptions!$E$159:$E$168,MATCH('Cash flow forecast'!$B190,Assumptions!$A$159:$A$168,0)),'Cash flow forecast'!K$5=INDEX(Assumptions!$F$159:$F$168,MATCH('Cash flow forecast'!$B190,Assumptions!$A$159:$A$168,0))),SUMIFS(Assumptions!$B$159:$B$168,Assumptions!$A$159:$A$168,'Cash flow forecast'!$B190,Assumptions!$D$159:$D$168,"Annual"),0)),"")</f>
        <v>50</v>
      </c>
      <c r="L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forecast'!L$5))*(INDEX(Assumptions!$C$159:$C$168,MATCH('Cash flow forecast'!$B190,Assumptions!$A$159:$A$168,0))),IF(OR('Cash flow forecast'!L$5=INDEX(Assumptions!$E$159:$E$168,MATCH('Cash flow forecast'!$B190,Assumptions!$A$159:$A$168,0)),'Cash flow forecast'!L$5=INDEX(Assumptions!$F$159:$F$168,MATCH('Cash flow forecast'!$B190,Assumptions!$A$159:$A$168,0))),SUMIFS(Assumptions!$B$159:$B$168,Assumptions!$A$159:$A$168,'Cash flow forecast'!$B190,Assumptions!$D$159:$D$168,"Annual"),0)),"")</f>
        <v>50</v>
      </c>
      <c r="M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forecast'!M$5))*(INDEX(Assumptions!$C$159:$C$168,MATCH('Cash flow forecast'!$B190,Assumptions!$A$159:$A$168,0))),IF(OR('Cash flow forecast'!M$5=INDEX(Assumptions!$E$159:$E$168,MATCH('Cash flow forecast'!$B190,Assumptions!$A$159:$A$168,0)),'Cash flow forecast'!M$5=INDEX(Assumptions!$F$159:$F$168,MATCH('Cash flow forecast'!$B190,Assumptions!$A$159:$A$168,0))),SUMIFS(Assumptions!$B$159:$B$168,Assumptions!$A$159:$A$168,'Cash flow forecast'!$B190,Assumptions!$D$159:$D$168,"Annual"),0)),"")</f>
        <v>50</v>
      </c>
      <c r="N190" s="223">
        <f>IFERROR(IF(INDEX(Assumptions!$D$159:$D$168,MATCH('Cash flow forecast'!$B190,Assumptions!$A$159:$A$168,0))="Monthly",(SUMIFS(Assumptions!$B$159:$B$168,Assumptions!$A$159:$A$168,'Cash flow forecast'!$B190,Assumptions!$E$159:$E$168,"&lt;="&amp;'Cash flow forecast'!N$5))*(INDEX(Assumptions!$C$159:$C$168,MATCH('Cash flow forecast'!$B190,Assumptions!$A$159:$A$168,0))),IF(OR('Cash flow forecast'!N$5=INDEX(Assumptions!$E$159:$E$168,MATCH('Cash flow forecast'!$B190,Assumptions!$A$159:$A$168,0)),'Cash flow forecast'!N$5=INDEX(Assumptions!$F$159:$F$168,MATCH('Cash flow forecast'!$B190,Assumptions!$A$159:$A$168,0))),SUMIFS(Assumptions!$B$159:$B$168,Assumptions!$A$159:$A$168,'Cash flow forecast'!$B190,Assumptions!$D$159:$D$168,"Annual"),0)),"")</f>
        <v>50</v>
      </c>
      <c r="O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forecast'!O$5))*(INDEX(Assumptions!$C$159:$C$168,MATCH('Cash flow forecast'!$B190,Assumptions!$A$159:$A$168,0))),IF(OR('Cash flow forecast'!O$5=INDEX(Assumptions!$E$159:$E$168,MATCH('Cash flow forecast'!$B190,Assumptions!$A$159:$A$168,0)),'Cash flow forecast'!O$5=INDEX(Assumptions!$F$159:$F$168,MATCH('Cash flow forecast'!$B190,Assumptions!$A$159:$A$168,0))),SUMIFS(Assumptions!$B$159:$B$168,Assumptions!$A$159:$A$168,'Cash flow forecast'!$B190,Assumptions!$D$159:$D$168,"Annual"),0)),"")</f>
        <v>50</v>
      </c>
      <c r="P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forecast'!P$5))*(INDEX(Assumptions!$C$159:$C$168,MATCH('Cash flow forecast'!$B190,Assumptions!$A$159:$A$168,0))),IF(OR('Cash flow forecast'!P$5=INDEX(Assumptions!$E$159:$E$168,MATCH('Cash flow forecast'!$B190,Assumptions!$A$159:$A$168,0)),'Cash flow forecast'!P$5=INDEX(Assumptions!$F$159:$F$168,MATCH('Cash flow forecast'!$B190,Assumptions!$A$159:$A$168,0))),SUMIFS(Assumptions!$B$159:$B$168,Assumptions!$A$159:$A$168,'Cash flow forecast'!$B190,Assumptions!$D$159:$D$168,"Annual"),0)),"")</f>
        <v>50</v>
      </c>
      <c r="Q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forecast'!Q$5))*(INDEX(Assumptions!$C$159:$C$168,MATCH('Cash flow forecast'!$B190,Assumptions!$A$159:$A$168,0))),IF(OR('Cash flow forecast'!Q$5=INDEX(Assumptions!$E$159:$E$168,MATCH('Cash flow forecast'!$B190,Assumptions!$A$159:$A$168,0)),'Cash flow forecast'!Q$5=INDEX(Assumptions!$F$159:$F$168,MATCH('Cash flow forecast'!$B190,Assumptions!$A$159:$A$168,0))),SUMIFS(Assumptions!$B$159:$B$168,Assumptions!$A$159:$A$168,'Cash flow forecast'!$B190,Assumptions!$D$159:$D$168,"Annual"),0)),"")</f>
        <v>50</v>
      </c>
      <c r="R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forecast'!R$5))*(INDEX(Assumptions!$C$159:$C$168,MATCH('Cash flow forecast'!$B190,Assumptions!$A$159:$A$168,0))),IF(OR('Cash flow forecast'!R$5=INDEX(Assumptions!$E$159:$E$168,MATCH('Cash flow forecast'!$B190,Assumptions!$A$159:$A$168,0)),'Cash flow forecast'!R$5=INDEX(Assumptions!$F$159:$F$168,MATCH('Cash flow forecast'!$B190,Assumptions!$A$159:$A$168,0))),SUMIFS(Assumptions!$B$159:$B$168,Assumptions!$A$159:$A$168,'Cash flow forecast'!$B190,Assumptions!$D$159:$D$168,"Annual"),0)),"")</f>
        <v>50</v>
      </c>
      <c r="S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forecast'!S$5))*(INDEX(Assumptions!$C$159:$C$168,MATCH('Cash flow forecast'!$B190,Assumptions!$A$159:$A$168,0))),IF(OR('Cash flow forecast'!S$5=INDEX(Assumptions!$E$159:$E$168,MATCH('Cash flow forecast'!$B190,Assumptions!$A$159:$A$168,0)),'Cash flow forecast'!S$5=INDEX(Assumptions!$F$159:$F$168,MATCH('Cash flow forecast'!$B190,Assumptions!$A$159:$A$168,0))),SUMIFS(Assumptions!$B$159:$B$168,Assumptions!$A$159:$A$168,'Cash flow forecast'!$B190,Assumptions!$D$159:$D$168,"Annual"),0)),"")</f>
        <v>50</v>
      </c>
      <c r="T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forecast'!T$5))*(INDEX(Assumptions!$C$159:$C$168,MATCH('Cash flow forecast'!$B190,Assumptions!$A$159:$A$168,0))),IF(OR('Cash flow forecast'!T$5=INDEX(Assumptions!$E$159:$E$168,MATCH('Cash flow forecast'!$B190,Assumptions!$A$159:$A$168,0)),'Cash flow forecast'!T$5=INDEX(Assumptions!$F$159:$F$168,MATCH('Cash flow forecast'!$B190,Assumptions!$A$159:$A$168,0))),SUMIFS(Assumptions!$B$159:$B$168,Assumptions!$A$159:$A$168,'Cash flow forecast'!$B190,Assumptions!$D$159:$D$168,"Annual"),0)),"")</f>
        <v>50</v>
      </c>
      <c r="U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forecast'!U$5))*(INDEX(Assumptions!$C$159:$C$168,MATCH('Cash flow forecast'!$B190,Assumptions!$A$159:$A$168,0))),IF(OR('Cash flow forecast'!U$5=INDEX(Assumptions!$E$159:$E$168,MATCH('Cash flow forecast'!$B190,Assumptions!$A$159:$A$168,0)),'Cash flow forecast'!U$5=INDEX(Assumptions!$F$159:$F$168,MATCH('Cash flow forecast'!$B190,Assumptions!$A$159:$A$168,0))),SUMIFS(Assumptions!$B$159:$B$168,Assumptions!$A$159:$A$168,'Cash flow forecast'!$B190,Assumptions!$D$159:$D$168,"Annual"),0)),"")</f>
        <v>50</v>
      </c>
      <c r="V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forecast'!V$5))*(INDEX(Assumptions!$C$159:$C$168,MATCH('Cash flow forecast'!$B190,Assumptions!$A$159:$A$168,0))),IF(OR('Cash flow forecast'!V$5=INDEX(Assumptions!$E$159:$E$168,MATCH('Cash flow forecast'!$B190,Assumptions!$A$159:$A$168,0)),'Cash flow forecast'!V$5=INDEX(Assumptions!$F$159:$F$168,MATCH('Cash flow forecast'!$B190,Assumptions!$A$159:$A$168,0))),SUMIFS(Assumptions!$B$159:$B$168,Assumptions!$A$159:$A$168,'Cash flow forecast'!$B190,Assumptions!$D$159:$D$168,"Annual"),0)),"")</f>
        <v>50</v>
      </c>
      <c r="W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forecast'!W$5))*(INDEX(Assumptions!$C$159:$C$168,MATCH('Cash flow forecast'!$B190,Assumptions!$A$159:$A$168,0))),IF(OR('Cash flow forecast'!W$5=INDEX(Assumptions!$E$159:$E$168,MATCH('Cash flow forecast'!$B190,Assumptions!$A$159:$A$168,0)),'Cash flow forecast'!W$5=INDEX(Assumptions!$F$159:$F$168,MATCH('Cash flow forecast'!$B190,Assumptions!$A$159:$A$168,0))),SUMIFS(Assumptions!$B$159:$B$168,Assumptions!$A$159:$A$168,'Cash flow forecast'!$B190,Assumptions!$D$159:$D$168,"Annual"),0)),"")</f>
        <v>50</v>
      </c>
      <c r="X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forecast'!X$5))*(INDEX(Assumptions!$C$159:$C$168,MATCH('Cash flow forecast'!$B190,Assumptions!$A$159:$A$168,0))),IF(OR('Cash flow forecast'!X$5=INDEX(Assumptions!$E$159:$E$168,MATCH('Cash flow forecast'!$B190,Assumptions!$A$159:$A$168,0)),'Cash flow forecast'!X$5=INDEX(Assumptions!$F$159:$F$168,MATCH('Cash flow forecast'!$B190,Assumptions!$A$159:$A$168,0))),SUMIFS(Assumptions!$B$159:$B$168,Assumptions!$A$159:$A$168,'Cash flow forecast'!$B190,Assumptions!$D$159:$D$168,"Annual"),0)),"")</f>
        <v>50</v>
      </c>
      <c r="Y190" s="222">
        <f>IFERROR(IF(INDEX(Assumptions!$D$159:$D$168,MATCH('Cash flow forecast'!$B190,Assumptions!$A$159:$A$168,0))="Monthly",(SUMIFS(Assumptions!$B$159:$B$168,Assumptions!$A$159:$A$168,'Cash flow forecast'!$B190,Assumptions!$E$159:$E$168,"&lt;="&amp;'Cash flow forecast'!Y$5))*(INDEX(Assumptions!$C$159:$C$168,MATCH('Cash flow forecast'!$B190,Assumptions!$A$159:$A$168,0))),IF(OR('Cash flow forecast'!Y$5=INDEX(Assumptions!$E$159:$E$168,MATCH('Cash flow forecast'!$B190,Assumptions!$A$159:$A$168,0)),'Cash flow forecast'!Y$5=INDEX(Assumptions!$F$159:$F$168,MATCH('Cash flow forecast'!$B190,Assumptions!$A$159:$A$168,0))),SUMIFS(Assumptions!$B$159:$B$168,Assumptions!$A$159:$A$168,'Cash flow forecast'!$B190,Assumptions!$D$159:$D$168,"Annual"),0)),"")</f>
        <v>50</v>
      </c>
      <c r="Z190" s="223">
        <f>IFERROR(IF(INDEX(Assumptions!$D$159:$D$168,MATCH('Cash flow forecast'!$B190,Assumptions!$A$159:$A$168,0))="Monthly",(SUMIFS(Assumptions!$B$159:$B$168,Assumptions!$A$159:$A$168,'Cash flow forecast'!$B190,Assumptions!$E$159:$E$168,"&lt;="&amp;'Cash flow forecast'!Z$5))*(INDEX(Assumptions!$C$159:$C$168,MATCH('Cash flow forecast'!$B190,Assumptions!$A$159:$A$168,0))),IF(OR('Cash flow forecast'!Z$5=INDEX(Assumptions!$E$159:$E$168,MATCH('Cash flow forecast'!$B190,Assumptions!$A$159:$A$168,0)),'Cash flow forecast'!Z$5=INDEX(Assumptions!$F$159:$F$168,MATCH('Cash flow forecast'!$B190,Assumptions!$A$159:$A$168,0))),SUMIFS(Assumptions!$B$159:$B$168,Assumptions!$A$159:$A$168,'Cash flow forecast'!$B190,Assumptions!$D$159:$D$168,"Annual"),0)),"")</f>
        <v>50</v>
      </c>
      <c r="AA190" s="221">
        <f t="shared" si="180"/>
        <v>150</v>
      </c>
      <c r="AB190" s="222">
        <f t="shared" si="180"/>
        <v>150</v>
      </c>
      <c r="AC190" s="222">
        <f t="shared" si="180"/>
        <v>150</v>
      </c>
      <c r="AD190" s="222">
        <f t="shared" si="180"/>
        <v>150</v>
      </c>
      <c r="AE190" s="225">
        <f t="shared" si="173"/>
        <v>600</v>
      </c>
      <c r="AF190" s="221">
        <f t="shared" si="176"/>
        <v>150</v>
      </c>
      <c r="AG190" s="222">
        <f t="shared" si="181"/>
        <v>150</v>
      </c>
      <c r="AH190" s="222">
        <f t="shared" si="181"/>
        <v>150</v>
      </c>
      <c r="AI190" s="223">
        <f t="shared" si="181"/>
        <v>150</v>
      </c>
      <c r="AJ190" s="225">
        <f t="shared" si="177"/>
        <v>600</v>
      </c>
      <c r="AK190" s="243">
        <f t="shared" si="182"/>
        <v>1.1737698894818702E-3</v>
      </c>
    </row>
    <row r="191" spans="2:37" ht="22.15" customHeight="1" collapsed="1" thickBot="1" x14ac:dyDescent="0.3">
      <c r="B191" s="96" t="s">
        <v>196</v>
      </c>
      <c r="C191" s="172">
        <f>SUM(C181:C190)</f>
        <v>190</v>
      </c>
      <c r="D191" s="173">
        <f t="shared" ref="D191:AJ191" si="183">SUM(D181:D190)</f>
        <v>150</v>
      </c>
      <c r="E191" s="173">
        <f t="shared" si="183"/>
        <v>150</v>
      </c>
      <c r="F191" s="173">
        <f t="shared" si="183"/>
        <v>150</v>
      </c>
      <c r="G191" s="173">
        <f t="shared" si="183"/>
        <v>150</v>
      </c>
      <c r="H191" s="173">
        <f t="shared" si="183"/>
        <v>160</v>
      </c>
      <c r="I191" s="173">
        <f t="shared" si="183"/>
        <v>150</v>
      </c>
      <c r="J191" s="173">
        <f t="shared" si="183"/>
        <v>150</v>
      </c>
      <c r="K191" s="173">
        <f t="shared" si="183"/>
        <v>150</v>
      </c>
      <c r="L191" s="173">
        <f t="shared" si="183"/>
        <v>150</v>
      </c>
      <c r="M191" s="173">
        <f t="shared" si="183"/>
        <v>150</v>
      </c>
      <c r="N191" s="174">
        <f t="shared" si="183"/>
        <v>150</v>
      </c>
      <c r="O191" s="173">
        <f t="shared" si="183"/>
        <v>190</v>
      </c>
      <c r="P191" s="173">
        <f t="shared" si="183"/>
        <v>150</v>
      </c>
      <c r="Q191" s="173">
        <f t="shared" si="183"/>
        <v>150</v>
      </c>
      <c r="R191" s="173">
        <f t="shared" si="183"/>
        <v>150</v>
      </c>
      <c r="S191" s="173">
        <f t="shared" si="183"/>
        <v>150</v>
      </c>
      <c r="T191" s="173">
        <f t="shared" si="183"/>
        <v>160</v>
      </c>
      <c r="U191" s="173">
        <f t="shared" si="183"/>
        <v>150</v>
      </c>
      <c r="V191" s="173">
        <f t="shared" si="183"/>
        <v>150</v>
      </c>
      <c r="W191" s="173">
        <f t="shared" si="183"/>
        <v>150</v>
      </c>
      <c r="X191" s="173">
        <f t="shared" si="183"/>
        <v>150</v>
      </c>
      <c r="Y191" s="173">
        <f t="shared" si="183"/>
        <v>150</v>
      </c>
      <c r="Z191" s="174">
        <f t="shared" si="183"/>
        <v>150</v>
      </c>
      <c r="AA191" s="173">
        <f t="shared" si="183"/>
        <v>490</v>
      </c>
      <c r="AB191" s="173">
        <f t="shared" si="183"/>
        <v>450</v>
      </c>
      <c r="AC191" s="173">
        <f t="shared" si="183"/>
        <v>460</v>
      </c>
      <c r="AD191" s="173">
        <f t="shared" si="183"/>
        <v>450</v>
      </c>
      <c r="AE191" s="170">
        <f t="shared" si="183"/>
        <v>1850</v>
      </c>
      <c r="AF191" s="173">
        <f t="shared" si="183"/>
        <v>490</v>
      </c>
      <c r="AG191" s="173">
        <f t="shared" si="183"/>
        <v>450</v>
      </c>
      <c r="AH191" s="173">
        <f t="shared" si="183"/>
        <v>460</v>
      </c>
      <c r="AI191" s="173">
        <f t="shared" si="183"/>
        <v>450</v>
      </c>
      <c r="AJ191" s="170">
        <f t="shared" si="183"/>
        <v>1850</v>
      </c>
      <c r="AK191" s="244">
        <f t="shared" si="182"/>
        <v>3.6191238259024334E-3</v>
      </c>
    </row>
    <row r="192" spans="2:37" ht="22.15" customHeight="1" thickTop="1" x14ac:dyDescent="0.25">
      <c r="B192" s="89" t="s">
        <v>165</v>
      </c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  <c r="AK192" s="241"/>
    </row>
    <row r="193" spans="2:37" ht="22.15" hidden="1" customHeight="1" outlineLevel="1" x14ac:dyDescent="0.25">
      <c r="B193" s="91" t="str">
        <f>IF(Assumptions!$A172="","",Assumptions!$A172)</f>
        <v>Test 1</v>
      </c>
      <c r="C193" s="217">
        <f>SUMIFS(Assumptions!$B$172:$B$173,Assumptions!$A$172:$A$173,'Cash flow forecast'!$B193,Assumptions!$C$172:$C$173,"&lt;="&amp;C$5)</f>
        <v>0</v>
      </c>
      <c r="D193" s="218">
        <f>SUMIFS(Assumptions!$B$172:$B$173,Assumptions!$A$172:$A$173,'Cash flow forecast'!$B193,Assumptions!$C$172:$C$173,"&lt;="&amp;D$5)</f>
        <v>0</v>
      </c>
      <c r="E193" s="218">
        <f>SUMIFS(Assumptions!$B$172:$B$173,Assumptions!$A$172:$A$173,'Cash flow forecast'!$B193,Assumptions!$C$172:$C$173,"&lt;="&amp;E$5)</f>
        <v>0</v>
      </c>
      <c r="F193" s="218">
        <f>SUMIFS(Assumptions!$B$172:$B$173,Assumptions!$A$172:$A$173,'Cash flow forecast'!$B193,Assumptions!$C$172:$C$173,"&lt;="&amp;F$5)</f>
        <v>300</v>
      </c>
      <c r="G193" s="218">
        <f>SUMIFS(Assumptions!$B$172:$B$173,Assumptions!$A$172:$A$173,'Cash flow forecast'!$B193,Assumptions!$C$172:$C$173,"&lt;="&amp;G$5)</f>
        <v>300</v>
      </c>
      <c r="H193" s="218">
        <f>SUMIFS(Assumptions!$B$172:$B$173,Assumptions!$A$172:$A$173,'Cash flow forecast'!$B193,Assumptions!$C$172:$C$173,"&lt;="&amp;H$5)</f>
        <v>300</v>
      </c>
      <c r="I193" s="218">
        <f>SUMIFS(Assumptions!$B$172:$B$173,Assumptions!$A$172:$A$173,'Cash flow forecast'!$B193,Assumptions!$C$172:$C$173,"&lt;="&amp;I$5)</f>
        <v>300</v>
      </c>
      <c r="J193" s="218">
        <f>SUMIFS(Assumptions!$B$172:$B$173,Assumptions!$A$172:$A$173,'Cash flow forecast'!$B193,Assumptions!$C$172:$C$173,"&lt;="&amp;J$5)</f>
        <v>300</v>
      </c>
      <c r="K193" s="218">
        <f>SUMIFS(Assumptions!$B$172:$B$173,Assumptions!$A$172:$A$173,'Cash flow forecast'!$B193,Assumptions!$C$172:$C$173,"&lt;="&amp;K$5)</f>
        <v>300</v>
      </c>
      <c r="L193" s="218">
        <f>SUMIFS(Assumptions!$B$172:$B$173,Assumptions!$A$172:$A$173,'Cash flow forecast'!$B193,Assumptions!$C$172:$C$173,"&lt;="&amp;L$5)</f>
        <v>300</v>
      </c>
      <c r="M193" s="218">
        <f>SUMIFS(Assumptions!$B$172:$B$173,Assumptions!$A$172:$A$173,'Cash flow forecast'!$B193,Assumptions!$C$172:$C$173,"&lt;="&amp;M$5)</f>
        <v>300</v>
      </c>
      <c r="N193" s="219">
        <f>SUMIFS(Assumptions!$B$172:$B$173,Assumptions!$A$172:$A$173,'Cash flow forecast'!$B193,Assumptions!$C$172:$C$173,"&lt;="&amp;N$5)</f>
        <v>300</v>
      </c>
      <c r="O193" s="217">
        <f>SUMIFS(Assumptions!$B$172:$B$173,Assumptions!$A$172:$A$173,'Cash flow forecast'!$B193,Assumptions!$C$172:$C$173,"&lt;="&amp;O$5)</f>
        <v>300</v>
      </c>
      <c r="P193" s="218">
        <f>SUMIFS(Assumptions!$B$172:$B$173,Assumptions!$A$172:$A$173,'Cash flow forecast'!$B193,Assumptions!$C$172:$C$173,"&lt;="&amp;P$5)</f>
        <v>300</v>
      </c>
      <c r="Q193" s="218">
        <f>SUMIFS(Assumptions!$B$172:$B$173,Assumptions!$A$172:$A$173,'Cash flow forecast'!$B193,Assumptions!$C$172:$C$173,"&lt;="&amp;Q$5)</f>
        <v>300</v>
      </c>
      <c r="R193" s="218">
        <f>SUMIFS(Assumptions!$B$172:$B$173,Assumptions!$A$172:$A$173,'Cash flow forecast'!$B193,Assumptions!$C$172:$C$173,"&lt;="&amp;R$5)</f>
        <v>300</v>
      </c>
      <c r="S193" s="218">
        <f>SUMIFS(Assumptions!$B$172:$B$173,Assumptions!$A$172:$A$173,'Cash flow forecast'!$B193,Assumptions!$C$172:$C$173,"&lt;="&amp;S$5)</f>
        <v>300</v>
      </c>
      <c r="T193" s="218">
        <f>SUMIFS(Assumptions!$B$172:$B$173,Assumptions!$A$172:$A$173,'Cash flow forecast'!$B193,Assumptions!$C$172:$C$173,"&lt;="&amp;T$5)</f>
        <v>300</v>
      </c>
      <c r="U193" s="218">
        <f>SUMIFS(Assumptions!$B$172:$B$173,Assumptions!$A$172:$A$173,'Cash flow forecast'!$B193,Assumptions!$C$172:$C$173,"&lt;="&amp;U$5)</f>
        <v>300</v>
      </c>
      <c r="V193" s="218">
        <f>SUMIFS(Assumptions!$B$172:$B$173,Assumptions!$A$172:$A$173,'Cash flow forecast'!$B193,Assumptions!$C$172:$C$173,"&lt;="&amp;V$5)</f>
        <v>300</v>
      </c>
      <c r="W193" s="218">
        <f>SUMIFS(Assumptions!$B$172:$B$173,Assumptions!$A$172:$A$173,'Cash flow forecast'!$B193,Assumptions!$C$172:$C$173,"&lt;="&amp;W$5)</f>
        <v>300</v>
      </c>
      <c r="X193" s="218">
        <f>SUMIFS(Assumptions!$B$172:$B$173,Assumptions!$A$172:$A$173,'Cash flow forecast'!$B193,Assumptions!$C$172:$C$173,"&lt;="&amp;X$5)</f>
        <v>300</v>
      </c>
      <c r="Y193" s="218">
        <f>SUMIFS(Assumptions!$B$172:$B$173,Assumptions!$A$172:$A$173,'Cash flow forecast'!$B193,Assumptions!$C$172:$C$173,"&lt;="&amp;Y$5)</f>
        <v>300</v>
      </c>
      <c r="Z193" s="219">
        <f>SUMIFS(Assumptions!$B$172:$B$173,Assumptions!$A$172:$A$173,'Cash flow forecast'!$B193,Assumptions!$C$172:$C$173,"&lt;="&amp;Z$5)</f>
        <v>300</v>
      </c>
      <c r="AA193" s="217">
        <f>SUMIFS($C193:$N193,$C$6:$N$6,AA$5)</f>
        <v>600</v>
      </c>
      <c r="AB193" s="218">
        <f t="shared" si="178"/>
        <v>300</v>
      </c>
      <c r="AC193" s="218">
        <f t="shared" si="178"/>
        <v>900</v>
      </c>
      <c r="AD193" s="219">
        <f t="shared" si="178"/>
        <v>900</v>
      </c>
      <c r="AE193" s="220">
        <f t="shared" si="173"/>
        <v>2700</v>
      </c>
      <c r="AF193" s="217">
        <f t="shared" si="176"/>
        <v>900</v>
      </c>
      <c r="AG193" s="218">
        <f t="shared" si="176"/>
        <v>900</v>
      </c>
      <c r="AH193" s="218">
        <f t="shared" si="176"/>
        <v>900</v>
      </c>
      <c r="AI193" s="219">
        <f t="shared" si="176"/>
        <v>900</v>
      </c>
      <c r="AJ193" s="220">
        <f t="shared" si="177"/>
        <v>3600</v>
      </c>
      <c r="AK193" s="246">
        <f t="shared" si="182"/>
        <v>6.1622919197798186E-3</v>
      </c>
    </row>
    <row r="194" spans="2:37" ht="22.15" hidden="1" customHeight="1" outlineLevel="1" x14ac:dyDescent="0.25">
      <c r="B194" s="91" t="str">
        <f>IF(Assumptions!$A173="","",Assumptions!$A173)</f>
        <v>Test 2</v>
      </c>
      <c r="C194" s="226">
        <f>SUMIFS(Assumptions!$B$172:$B$173,Assumptions!$A$172:$A$173,'Cash flow forecast'!$B194,Assumptions!$C$172:$C$173,"&lt;="&amp;C$5)</f>
        <v>0</v>
      </c>
      <c r="D194" s="227">
        <f>SUMIFS(Assumptions!$B$172:$B$173,Assumptions!$A$172:$A$173,'Cash flow forecast'!$B194,Assumptions!$C$172:$C$173,"&lt;="&amp;D$5)</f>
        <v>0</v>
      </c>
      <c r="E194" s="227">
        <f>SUMIFS(Assumptions!$B$172:$B$173,Assumptions!$A$172:$A$173,'Cash flow forecast'!$B194,Assumptions!$C$172:$C$173,"&lt;="&amp;E$5)</f>
        <v>0</v>
      </c>
      <c r="F194" s="227">
        <f>SUMIFS(Assumptions!$B$172:$B$173,Assumptions!$A$172:$A$173,'Cash flow forecast'!$B194,Assumptions!$C$172:$C$173,"&lt;="&amp;F$5)</f>
        <v>0</v>
      </c>
      <c r="G194" s="227">
        <f>SUMIFS(Assumptions!$B$172:$B$173,Assumptions!$A$172:$A$173,'Cash flow forecast'!$B194,Assumptions!$C$172:$C$173,"&lt;="&amp;G$5)</f>
        <v>0</v>
      </c>
      <c r="H194" s="227">
        <f>SUMIFS(Assumptions!$B$172:$B$173,Assumptions!$A$172:$A$173,'Cash flow forecast'!$B194,Assumptions!$C$172:$C$173,"&lt;="&amp;H$5)</f>
        <v>0</v>
      </c>
      <c r="I194" s="227">
        <f>SUMIFS(Assumptions!$B$172:$B$173,Assumptions!$A$172:$A$173,'Cash flow forecast'!$B194,Assumptions!$C$172:$C$173,"&lt;="&amp;I$5)</f>
        <v>500</v>
      </c>
      <c r="J194" s="227">
        <f>SUMIFS(Assumptions!$B$172:$B$173,Assumptions!$A$172:$A$173,'Cash flow forecast'!$B194,Assumptions!$C$172:$C$173,"&lt;="&amp;J$5)</f>
        <v>500</v>
      </c>
      <c r="K194" s="227">
        <f>SUMIFS(Assumptions!$B$172:$B$173,Assumptions!$A$172:$A$173,'Cash flow forecast'!$B194,Assumptions!$C$172:$C$173,"&lt;="&amp;K$5)</f>
        <v>500</v>
      </c>
      <c r="L194" s="227">
        <f>SUMIFS(Assumptions!$B$172:$B$173,Assumptions!$A$172:$A$173,'Cash flow forecast'!$B194,Assumptions!$C$172:$C$173,"&lt;="&amp;L$5)</f>
        <v>500</v>
      </c>
      <c r="M194" s="227">
        <f>SUMIFS(Assumptions!$B$172:$B$173,Assumptions!$A$172:$A$173,'Cash flow forecast'!$B194,Assumptions!$C$172:$C$173,"&lt;="&amp;M$5)</f>
        <v>500</v>
      </c>
      <c r="N194" s="228">
        <f>SUMIFS(Assumptions!$B$172:$B$173,Assumptions!$A$172:$A$173,'Cash flow forecast'!$B194,Assumptions!$C$172:$C$173,"&lt;="&amp;N$5)</f>
        <v>500</v>
      </c>
      <c r="O194" s="226">
        <f>SUMIFS(Assumptions!$B$172:$B$173,Assumptions!$A$172:$A$173,'Cash flow forecast'!$B194,Assumptions!$C$172:$C$173,"&lt;="&amp;O$5)</f>
        <v>500</v>
      </c>
      <c r="P194" s="227">
        <f>SUMIFS(Assumptions!$B$172:$B$173,Assumptions!$A$172:$A$173,'Cash flow forecast'!$B194,Assumptions!$C$172:$C$173,"&lt;="&amp;P$5)</f>
        <v>500</v>
      </c>
      <c r="Q194" s="227">
        <f>SUMIFS(Assumptions!$B$172:$B$173,Assumptions!$A$172:$A$173,'Cash flow forecast'!$B194,Assumptions!$C$172:$C$173,"&lt;="&amp;Q$5)</f>
        <v>500</v>
      </c>
      <c r="R194" s="227">
        <f>SUMIFS(Assumptions!$B$172:$B$173,Assumptions!$A$172:$A$173,'Cash flow forecast'!$B194,Assumptions!$C$172:$C$173,"&lt;="&amp;R$5)</f>
        <v>500</v>
      </c>
      <c r="S194" s="227">
        <f>SUMIFS(Assumptions!$B$172:$B$173,Assumptions!$A$172:$A$173,'Cash flow forecast'!$B194,Assumptions!$C$172:$C$173,"&lt;="&amp;S$5)</f>
        <v>500</v>
      </c>
      <c r="T194" s="227">
        <f>SUMIFS(Assumptions!$B$172:$B$173,Assumptions!$A$172:$A$173,'Cash flow forecast'!$B194,Assumptions!$C$172:$C$173,"&lt;="&amp;T$5)</f>
        <v>500</v>
      </c>
      <c r="U194" s="227">
        <f>SUMIFS(Assumptions!$B$172:$B$173,Assumptions!$A$172:$A$173,'Cash flow forecast'!$B194,Assumptions!$C$172:$C$173,"&lt;="&amp;U$5)</f>
        <v>500</v>
      </c>
      <c r="V194" s="227">
        <f>SUMIFS(Assumptions!$B$172:$B$173,Assumptions!$A$172:$A$173,'Cash flow forecast'!$B194,Assumptions!$C$172:$C$173,"&lt;="&amp;V$5)</f>
        <v>500</v>
      </c>
      <c r="W194" s="227">
        <f>SUMIFS(Assumptions!$B$172:$B$173,Assumptions!$A$172:$A$173,'Cash flow forecast'!$B194,Assumptions!$C$172:$C$173,"&lt;="&amp;W$5)</f>
        <v>500</v>
      </c>
      <c r="X194" s="227">
        <f>SUMIFS(Assumptions!$B$172:$B$173,Assumptions!$A$172:$A$173,'Cash flow forecast'!$B194,Assumptions!$C$172:$C$173,"&lt;="&amp;X$5)</f>
        <v>500</v>
      </c>
      <c r="Y194" s="227">
        <f>SUMIFS(Assumptions!$B$172:$B$173,Assumptions!$A$172:$A$173,'Cash flow forecast'!$B194,Assumptions!$C$172:$C$173,"&lt;="&amp;Y$5)</f>
        <v>500</v>
      </c>
      <c r="Z194" s="228">
        <f>SUMIFS(Assumptions!$B$172:$B$173,Assumptions!$A$172:$A$173,'Cash flow forecast'!$B194,Assumptions!$C$172:$C$173,"&lt;="&amp;Z$5)</f>
        <v>500</v>
      </c>
      <c r="AA194" s="226">
        <f>SUMIFS($C194:$N194,$C$6:$N$6,AA$5)</f>
        <v>1000</v>
      </c>
      <c r="AB194" s="227">
        <f t="shared" si="178"/>
        <v>0</v>
      </c>
      <c r="AC194" s="227">
        <f t="shared" si="178"/>
        <v>500</v>
      </c>
      <c r="AD194" s="228">
        <f t="shared" si="178"/>
        <v>1500</v>
      </c>
      <c r="AE194" s="229">
        <f t="shared" si="173"/>
        <v>3000</v>
      </c>
      <c r="AF194" s="226">
        <f t="shared" si="176"/>
        <v>1500</v>
      </c>
      <c r="AG194" s="227">
        <f t="shared" si="176"/>
        <v>1500</v>
      </c>
      <c r="AH194" s="227">
        <f t="shared" si="176"/>
        <v>1500</v>
      </c>
      <c r="AI194" s="228">
        <f t="shared" si="176"/>
        <v>1500</v>
      </c>
      <c r="AJ194" s="229">
        <f t="shared" si="177"/>
        <v>6000</v>
      </c>
      <c r="AK194" s="247">
        <f t="shared" si="182"/>
        <v>8.8032741711140273E-3</v>
      </c>
    </row>
    <row r="195" spans="2:37" ht="22.15" customHeight="1" collapsed="1" x14ac:dyDescent="0.25">
      <c r="B195" s="96" t="s">
        <v>188</v>
      </c>
      <c r="C195" s="156">
        <f>SUM(C193:C194)</f>
        <v>0</v>
      </c>
      <c r="D195" s="157">
        <f t="shared" ref="D195:AJ195" si="184">SUM(D193:D194)</f>
        <v>0</v>
      </c>
      <c r="E195" s="157">
        <f t="shared" si="184"/>
        <v>0</v>
      </c>
      <c r="F195" s="157">
        <f t="shared" si="184"/>
        <v>300</v>
      </c>
      <c r="G195" s="157">
        <f t="shared" si="184"/>
        <v>300</v>
      </c>
      <c r="H195" s="157">
        <f t="shared" si="184"/>
        <v>300</v>
      </c>
      <c r="I195" s="157">
        <f t="shared" si="184"/>
        <v>800</v>
      </c>
      <c r="J195" s="157">
        <f t="shared" si="184"/>
        <v>800</v>
      </c>
      <c r="K195" s="157">
        <f t="shared" si="184"/>
        <v>800</v>
      </c>
      <c r="L195" s="157">
        <f t="shared" si="184"/>
        <v>800</v>
      </c>
      <c r="M195" s="157">
        <f t="shared" si="184"/>
        <v>800</v>
      </c>
      <c r="N195" s="158">
        <f t="shared" si="184"/>
        <v>800</v>
      </c>
      <c r="O195" s="156">
        <f t="shared" si="184"/>
        <v>800</v>
      </c>
      <c r="P195" s="157">
        <f t="shared" si="184"/>
        <v>800</v>
      </c>
      <c r="Q195" s="157">
        <f t="shared" si="184"/>
        <v>800</v>
      </c>
      <c r="R195" s="157">
        <f t="shared" si="184"/>
        <v>800</v>
      </c>
      <c r="S195" s="157">
        <f t="shared" si="184"/>
        <v>800</v>
      </c>
      <c r="T195" s="157">
        <f t="shared" si="184"/>
        <v>800</v>
      </c>
      <c r="U195" s="157">
        <f t="shared" si="184"/>
        <v>800</v>
      </c>
      <c r="V195" s="157">
        <f t="shared" si="184"/>
        <v>800</v>
      </c>
      <c r="W195" s="157">
        <f t="shared" si="184"/>
        <v>800</v>
      </c>
      <c r="X195" s="157">
        <f t="shared" si="184"/>
        <v>800</v>
      </c>
      <c r="Y195" s="157">
        <f t="shared" si="184"/>
        <v>800</v>
      </c>
      <c r="Z195" s="158">
        <f t="shared" si="184"/>
        <v>800</v>
      </c>
      <c r="AA195" s="156">
        <f t="shared" si="184"/>
        <v>1600</v>
      </c>
      <c r="AB195" s="157">
        <f t="shared" si="184"/>
        <v>300</v>
      </c>
      <c r="AC195" s="157">
        <f t="shared" si="184"/>
        <v>1400</v>
      </c>
      <c r="AD195" s="157">
        <f t="shared" si="184"/>
        <v>2400</v>
      </c>
      <c r="AE195" s="159">
        <f t="shared" si="184"/>
        <v>5700</v>
      </c>
      <c r="AF195" s="156">
        <f t="shared" si="184"/>
        <v>2400</v>
      </c>
      <c r="AG195" s="157">
        <f t="shared" si="184"/>
        <v>2400</v>
      </c>
      <c r="AH195" s="157">
        <f t="shared" si="184"/>
        <v>2400</v>
      </c>
      <c r="AI195" s="158">
        <f t="shared" si="184"/>
        <v>2400</v>
      </c>
      <c r="AJ195" s="159">
        <f t="shared" si="184"/>
        <v>9600</v>
      </c>
      <c r="AK195" s="244">
        <f t="shared" si="182"/>
        <v>1.4965566090893846E-2</v>
      </c>
    </row>
    <row r="196" spans="2:37" ht="22.15" customHeight="1" x14ac:dyDescent="0.25">
      <c r="B196" s="89" t="s">
        <v>187</v>
      </c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41"/>
    </row>
    <row r="197" spans="2:37" ht="22.15" hidden="1" customHeight="1" outlineLevel="1" x14ac:dyDescent="0.25">
      <c r="B197" s="91" t="str">
        <f>IF(Assumptions!$A177="","",Assumptions!$A177)</f>
        <v>Ruth</v>
      </c>
      <c r="C197" s="217">
        <f>IFERROR(IF(INDEX(Assumptions!$G$177:$G$197,MATCH('Cash flow forecast'!$B197,Assumptions!$A$177:$A$197,0))="Salary",IF(AND('Cash flow forecast'!C$5&gt;=Assumptions!$E177,'Cash flow forecast'!C$5&lt;=Assumptions!$F177),Assumptions!$B177/12,0),IF(AND('Cash flow forecast'!C$5&gt;=Assumptions!$E177,'Cash flow forecast'!C$5&lt;=Assumptions!$F177),Assumptions!$C177*Assumptions!$D177,0)),"")</f>
        <v>0</v>
      </c>
      <c r="D197" s="218">
        <f>IFERROR(IF(INDEX(Assumptions!$G$177:$G$197,MATCH('Cash flow forecast'!$B197,Assumptions!$A$177:$A$197,0))="Salary",IF(AND('Cash flow forecast'!D$5&gt;=Assumptions!$E177,'Cash flow forecast'!D$5&lt;=Assumptions!$F177),Assumptions!$B177/12,0),IF(AND('Cash flow forecast'!D$5&gt;=Assumptions!$E177,'Cash flow forecast'!D$5&lt;=Assumptions!$F177),Assumptions!$C177*Assumptions!$D177,0)),"")</f>
        <v>0</v>
      </c>
      <c r="E197" s="218">
        <f>IFERROR(IF(INDEX(Assumptions!$G$177:$G$197,MATCH('Cash flow forecast'!$B197,Assumptions!$A$177:$A$197,0))="Salary",IF(AND('Cash flow forecast'!E$5&gt;=Assumptions!$E177,'Cash flow forecast'!E$5&lt;=Assumptions!$F177),Assumptions!$B177/12,0),IF(AND('Cash flow forecast'!E$5&gt;=Assumptions!$E177,'Cash flow forecast'!E$5&lt;=Assumptions!$F177),Assumptions!$C177*Assumptions!$D177,0)),"")</f>
        <v>0</v>
      </c>
      <c r="F197" s="218">
        <f>IFERROR(IF(INDEX(Assumptions!$G$177:$G$197,MATCH('Cash flow forecast'!$B197,Assumptions!$A$177:$A$197,0))="Salary",IF(AND('Cash flow forecast'!F$5&gt;=Assumptions!$E177,'Cash flow forecast'!F$5&lt;=Assumptions!$F177),Assumptions!$B177/12,0),IF(AND('Cash flow forecast'!F$5&gt;=Assumptions!$E177,'Cash flow forecast'!F$5&lt;=Assumptions!$F177),Assumptions!$C177*Assumptions!$D177,0)),"")</f>
        <v>8333.3333333333339</v>
      </c>
      <c r="G197" s="218">
        <f>IFERROR(IF(INDEX(Assumptions!$G$177:$G$197,MATCH('Cash flow forecast'!$B197,Assumptions!$A$177:$A$197,0))="Salary",IF(AND('Cash flow forecast'!G$5&gt;=Assumptions!$E177,'Cash flow forecast'!G$5&lt;=Assumptions!$F177),Assumptions!$B177/12,0),IF(AND('Cash flow forecast'!G$5&gt;=Assumptions!$E177,'Cash flow forecast'!G$5&lt;=Assumptions!$F177),Assumptions!$C177*Assumptions!$D177,0)),"")</f>
        <v>8333.3333333333339</v>
      </c>
      <c r="H197" s="218">
        <f>IFERROR(IF(INDEX(Assumptions!$G$177:$G$197,MATCH('Cash flow forecast'!$B197,Assumptions!$A$177:$A$197,0))="Salary",IF(AND('Cash flow forecast'!H$5&gt;=Assumptions!$E177,'Cash flow forecast'!H$5&lt;=Assumptions!$F177),Assumptions!$B177/12,0),IF(AND('Cash flow forecast'!H$5&gt;=Assumptions!$E177,'Cash flow forecast'!H$5&lt;=Assumptions!$F177),Assumptions!$C177*Assumptions!$D177,0)),"")</f>
        <v>8333.3333333333339</v>
      </c>
      <c r="I197" s="218">
        <f>IFERROR(IF(INDEX(Assumptions!$G$177:$G$197,MATCH('Cash flow forecast'!$B197,Assumptions!$A$177:$A$197,0))="Salary",IF(AND('Cash flow forecast'!I$5&gt;=Assumptions!$E177,'Cash flow forecast'!I$5&lt;=Assumptions!$F177),Assumptions!$B177/12,0),IF(AND('Cash flow forecast'!I$5&gt;=Assumptions!$E177,'Cash flow forecast'!I$5&lt;=Assumptions!$F177),Assumptions!$C177*Assumptions!$D177,0)),"")</f>
        <v>8333.3333333333339</v>
      </c>
      <c r="J197" s="218">
        <f>IFERROR(IF(INDEX(Assumptions!$G$177:$G$197,MATCH('Cash flow forecast'!$B197,Assumptions!$A$177:$A$197,0))="Salary",IF(AND('Cash flow forecast'!J$5&gt;=Assumptions!$E177,'Cash flow forecast'!J$5&lt;=Assumptions!$F177),Assumptions!$B177/12,0),IF(AND('Cash flow forecast'!J$5&gt;=Assumptions!$E177,'Cash flow forecast'!J$5&lt;=Assumptions!$F177),Assumptions!$C177*Assumptions!$D177,0)),"")</f>
        <v>8333.3333333333339</v>
      </c>
      <c r="K197" s="218">
        <f>IFERROR(IF(INDEX(Assumptions!$G$177:$G$197,MATCH('Cash flow forecast'!$B197,Assumptions!$A$177:$A$197,0))="Salary",IF(AND('Cash flow forecast'!K$5&gt;=Assumptions!$E177,'Cash flow forecast'!K$5&lt;=Assumptions!$F177),Assumptions!$B177/12,0),IF(AND('Cash flow forecast'!K$5&gt;=Assumptions!$E177,'Cash flow forecast'!K$5&lt;=Assumptions!$F177),Assumptions!$C177*Assumptions!$D177,0)),"")</f>
        <v>8333.3333333333339</v>
      </c>
      <c r="L197" s="218">
        <f>IFERROR(IF(INDEX(Assumptions!$G$177:$G$197,MATCH('Cash flow forecast'!$B197,Assumptions!$A$177:$A$197,0))="Salary",IF(AND('Cash flow forecast'!L$5&gt;=Assumptions!$E177,'Cash flow forecast'!L$5&lt;=Assumptions!$F177),Assumptions!$B177/12,0),IF(AND('Cash flow forecast'!L$5&gt;=Assumptions!$E177,'Cash flow forecast'!L$5&lt;=Assumptions!$F177),Assumptions!$C177*Assumptions!$D177,0)),"")</f>
        <v>8333.3333333333339</v>
      </c>
      <c r="M197" s="218">
        <f>IFERROR(IF(INDEX(Assumptions!$G$177:$G$197,MATCH('Cash flow forecast'!$B197,Assumptions!$A$177:$A$197,0))="Salary",IF(AND('Cash flow forecast'!M$5&gt;=Assumptions!$E177,'Cash flow forecast'!M$5&lt;=Assumptions!$F177),Assumptions!$B177/12,0),IF(AND('Cash flow forecast'!M$5&gt;=Assumptions!$E177,'Cash flow forecast'!M$5&lt;=Assumptions!$F177),Assumptions!$C177*Assumptions!$D177,0)),"")</f>
        <v>8333.3333333333339</v>
      </c>
      <c r="N197" s="219">
        <f>IFERROR(IF(INDEX(Assumptions!$G$177:$G$197,MATCH('Cash flow forecast'!$B197,Assumptions!$A$177:$A$197,0))="Salary",IF(AND('Cash flow forecast'!N$5&gt;=Assumptions!$E177,'Cash flow forecast'!N$5&lt;=Assumptions!$F177),Assumptions!$B177/12,0),IF(AND('Cash flow forecast'!N$5&gt;=Assumptions!$E177,'Cash flow forecast'!N$5&lt;=Assumptions!$F177),Assumptions!$C177*Assumptions!$D177,0)),"")</f>
        <v>8333.3333333333339</v>
      </c>
      <c r="O197" s="217">
        <f>IFERROR(IF(INDEX(Assumptions!$G$177:$G$197,MATCH('Cash flow forecast'!$B197,Assumptions!$A$177:$A$197,0))="Salary",IF(AND('Cash flow forecast'!O$5&gt;=Assumptions!$E177,'Cash flow forecast'!O$5&lt;=Assumptions!$F177),Assumptions!$B177/12,0),IF(AND('Cash flow forecast'!O$5&gt;=Assumptions!$E177,'Cash flow forecast'!O$5&lt;=Assumptions!$F177),Assumptions!$C177*Assumptions!$D177,0)),"")</f>
        <v>8333.3333333333339</v>
      </c>
      <c r="P197" s="218">
        <f>IFERROR(IF(INDEX(Assumptions!$G$177:$G$197,MATCH('Cash flow forecast'!$B197,Assumptions!$A$177:$A$197,0))="Salary",IF(AND('Cash flow forecast'!P$5&gt;=Assumptions!$E177,'Cash flow forecast'!P$5&lt;=Assumptions!$F177),Assumptions!$B177/12,0),IF(AND('Cash flow forecast'!P$5&gt;=Assumptions!$E177,'Cash flow forecast'!P$5&lt;=Assumptions!$F177),Assumptions!$C177*Assumptions!$D177,0)),"")</f>
        <v>8333.3333333333339</v>
      </c>
      <c r="Q197" s="218">
        <f>IFERROR(IF(INDEX(Assumptions!$G$177:$G$197,MATCH('Cash flow forecast'!$B197,Assumptions!$A$177:$A$197,0))="Salary",IF(AND('Cash flow forecast'!Q$5&gt;=Assumptions!$E177,'Cash flow forecast'!Q$5&lt;=Assumptions!$F177),Assumptions!$B177/12,0),IF(AND('Cash flow forecast'!Q$5&gt;=Assumptions!$E177,'Cash flow forecast'!Q$5&lt;=Assumptions!$F177),Assumptions!$C177*Assumptions!$D177,0)),"")</f>
        <v>8333.3333333333339</v>
      </c>
      <c r="R197" s="218">
        <f>IFERROR(IF(INDEX(Assumptions!$G$177:$G$197,MATCH('Cash flow forecast'!$B197,Assumptions!$A$177:$A$197,0))="Salary",IF(AND('Cash flow forecast'!R$5&gt;=Assumptions!$E177,'Cash flow forecast'!R$5&lt;=Assumptions!$F177),Assumptions!$B177/12,0),IF(AND('Cash flow forecast'!R$5&gt;=Assumptions!$E177,'Cash flow forecast'!R$5&lt;=Assumptions!$F177),Assumptions!$C177*Assumptions!$D177,0)),"")</f>
        <v>8333.3333333333339</v>
      </c>
      <c r="S197" s="218">
        <f>IFERROR(IF(INDEX(Assumptions!$G$177:$G$197,MATCH('Cash flow forecast'!$B197,Assumptions!$A$177:$A$197,0))="Salary",IF(AND('Cash flow forecast'!S$5&gt;=Assumptions!$E177,'Cash flow forecast'!S$5&lt;=Assumptions!$F177),Assumptions!$B177/12,0),IF(AND('Cash flow forecast'!S$5&gt;=Assumptions!$E177,'Cash flow forecast'!S$5&lt;=Assumptions!$F177),Assumptions!$C177*Assumptions!$D177,0)),"")</f>
        <v>8333.3333333333339</v>
      </c>
      <c r="T197" s="218">
        <f>IFERROR(IF(INDEX(Assumptions!$G$177:$G$197,MATCH('Cash flow forecast'!$B197,Assumptions!$A$177:$A$197,0))="Salary",IF(AND('Cash flow forecast'!T$5&gt;=Assumptions!$E177,'Cash flow forecast'!T$5&lt;=Assumptions!$F177),Assumptions!$B177/12,0),IF(AND('Cash flow forecast'!T$5&gt;=Assumptions!$E177,'Cash flow forecast'!T$5&lt;=Assumptions!$F177),Assumptions!$C177*Assumptions!$D177,0)),"")</f>
        <v>8333.3333333333339</v>
      </c>
      <c r="U197" s="218">
        <f>IFERROR(IF(INDEX(Assumptions!$G$177:$G$197,MATCH('Cash flow forecast'!$B197,Assumptions!$A$177:$A$197,0))="Salary",IF(AND('Cash flow forecast'!U$5&gt;=Assumptions!$E177,'Cash flow forecast'!U$5&lt;=Assumptions!$F177),Assumptions!$B177/12,0),IF(AND('Cash flow forecast'!U$5&gt;=Assumptions!$E177,'Cash flow forecast'!U$5&lt;=Assumptions!$F177),Assumptions!$C177*Assumptions!$D177,0)),"")</f>
        <v>8333.3333333333339</v>
      </c>
      <c r="V197" s="218">
        <f>IFERROR(IF(INDEX(Assumptions!$G$177:$G$197,MATCH('Cash flow forecast'!$B197,Assumptions!$A$177:$A$197,0))="Salary",IF(AND('Cash flow forecast'!V$5&gt;=Assumptions!$E177,'Cash flow forecast'!V$5&lt;=Assumptions!$F177),Assumptions!$B177/12,0),IF(AND('Cash flow forecast'!V$5&gt;=Assumptions!$E177,'Cash flow forecast'!V$5&lt;=Assumptions!$F177),Assumptions!$C177*Assumptions!$D177,0)),"")</f>
        <v>8333.3333333333339</v>
      </c>
      <c r="W197" s="218">
        <f>IFERROR(IF(INDEX(Assumptions!$G$177:$G$197,MATCH('Cash flow forecast'!$B197,Assumptions!$A$177:$A$197,0))="Salary",IF(AND('Cash flow forecast'!W$5&gt;=Assumptions!$E177,'Cash flow forecast'!W$5&lt;=Assumptions!$F177),Assumptions!$B177/12,0),IF(AND('Cash flow forecast'!W$5&gt;=Assumptions!$E177,'Cash flow forecast'!W$5&lt;=Assumptions!$F177),Assumptions!$C177*Assumptions!$D177,0)),"")</f>
        <v>8333.3333333333339</v>
      </c>
      <c r="X197" s="218">
        <f>IFERROR(IF(INDEX(Assumptions!$G$177:$G$197,MATCH('Cash flow forecast'!$B197,Assumptions!$A$177:$A$197,0))="Salary",IF(AND('Cash flow forecast'!X$5&gt;=Assumptions!$E177,'Cash flow forecast'!X$5&lt;=Assumptions!$F177),Assumptions!$B177/12,0),IF(AND('Cash flow forecast'!X$5&gt;=Assumptions!$E177,'Cash flow forecast'!X$5&lt;=Assumptions!$F177),Assumptions!$C177*Assumptions!$D177,0)),"")</f>
        <v>8333.3333333333339</v>
      </c>
      <c r="Y197" s="218">
        <f>IFERROR(IF(INDEX(Assumptions!$G$177:$G$197,MATCH('Cash flow forecast'!$B197,Assumptions!$A$177:$A$197,0))="Salary",IF(AND('Cash flow forecast'!Y$5&gt;=Assumptions!$E177,'Cash flow forecast'!Y$5&lt;=Assumptions!$F177),Assumptions!$B177/12,0),IF(AND('Cash flow forecast'!Y$5&gt;=Assumptions!$E177,'Cash flow forecast'!Y$5&lt;=Assumptions!$F177),Assumptions!$C177*Assumptions!$D177,0)),"")</f>
        <v>8333.3333333333339</v>
      </c>
      <c r="Z197" s="219">
        <f>IFERROR(IF(INDEX(Assumptions!$G$177:$G$197,MATCH('Cash flow forecast'!$B197,Assumptions!$A$177:$A$197,0))="Salary",IF(AND('Cash flow forecast'!Z$5&gt;=Assumptions!$E177,'Cash flow forecast'!Z$5&lt;=Assumptions!$F177),Assumptions!$B177/12,0),IF(AND('Cash flow forecast'!Z$5&gt;=Assumptions!$E177,'Cash flow forecast'!Z$5&lt;=Assumptions!$F177),Assumptions!$C177*Assumptions!$D177,0)),"")</f>
        <v>8333.3333333333339</v>
      </c>
      <c r="AA197" s="217">
        <f t="shared" ref="AA197:AD212" si="185">SUMIFS($C197:$N197,$C$6:$N$6,AA$5)</f>
        <v>16666.666666666668</v>
      </c>
      <c r="AB197" s="218">
        <f t="shared" si="185"/>
        <v>8333.3333333333339</v>
      </c>
      <c r="AC197" s="218">
        <f t="shared" si="185"/>
        <v>25000</v>
      </c>
      <c r="AD197" s="218">
        <f t="shared" si="185"/>
        <v>25000</v>
      </c>
      <c r="AE197" s="220">
        <f t="shared" ref="AE197:AE217" si="186">SUM($C197:$N197)</f>
        <v>75000</v>
      </c>
      <c r="AF197" s="217">
        <f>SUMIFS($O197:$Z197,$O$6:$Z$6,AF$5)</f>
        <v>25000</v>
      </c>
      <c r="AG197" s="218">
        <f t="shared" ref="AG197:AI212" si="187">SUMIFS($O197:$Z197,$O$6:$Z$6,AG$5)</f>
        <v>25000</v>
      </c>
      <c r="AH197" s="218">
        <f t="shared" si="187"/>
        <v>25000</v>
      </c>
      <c r="AI197" s="219">
        <f t="shared" si="187"/>
        <v>25000</v>
      </c>
      <c r="AJ197" s="220">
        <f>SUM($O197:$Z197)</f>
        <v>99999.999999999985</v>
      </c>
      <c r="AK197" s="242">
        <f t="shared" si="182"/>
        <v>0.17117477554943941</v>
      </c>
    </row>
    <row r="198" spans="2:37" ht="22.15" hidden="1" customHeight="1" outlineLevel="1" x14ac:dyDescent="0.25">
      <c r="B198" s="91" t="str">
        <f>IF(Assumptions!$A178="","",Assumptions!$A178)</f>
        <v>Test 2</v>
      </c>
      <c r="C198" s="221">
        <f>IFERROR(IF(INDEX(Assumptions!$G$177:$G$197,MATCH('Cash flow forecast'!$B198,Assumptions!$A$177:$A$197,0))="Salary",IF(AND('Cash flow forecast'!C$5&gt;=Assumptions!$E178,'Cash flow forecast'!C$5&lt;=Assumptions!$F178),Assumptions!$B178/12,0),IF(AND('Cash flow forecast'!C$5&gt;=Assumptions!$E178,'Cash flow forecast'!C$5&lt;=Assumptions!$F178),Assumptions!$C178*Assumptions!$D178,0)),"")</f>
        <v>0</v>
      </c>
      <c r="D198" s="222">
        <f>IFERROR(IF(INDEX(Assumptions!$G$177:$G$197,MATCH('Cash flow forecast'!$B198,Assumptions!$A$177:$A$197,0))="Salary",IF(AND('Cash flow forecast'!D$5&gt;=Assumptions!$E178,'Cash flow forecast'!D$5&lt;=Assumptions!$F178),Assumptions!$B178/12,0),IF(AND('Cash flow forecast'!D$5&gt;=Assumptions!$E178,'Cash flow forecast'!D$5&lt;=Assumptions!$F178),Assumptions!$C178*Assumptions!$D178,0)),"")</f>
        <v>0</v>
      </c>
      <c r="E198" s="222">
        <f>IFERROR(IF(INDEX(Assumptions!$G$177:$G$197,MATCH('Cash flow forecast'!$B198,Assumptions!$A$177:$A$197,0))="Salary",IF(AND('Cash flow forecast'!E$5&gt;=Assumptions!$E178,'Cash flow forecast'!E$5&lt;=Assumptions!$F178),Assumptions!$B178/12,0),IF(AND('Cash flow forecast'!E$5&gt;=Assumptions!$E178,'Cash flow forecast'!E$5&lt;=Assumptions!$F178),Assumptions!$C178*Assumptions!$D178,0)),"")</f>
        <v>0</v>
      </c>
      <c r="F198" s="222">
        <f>IFERROR(IF(INDEX(Assumptions!$G$177:$G$197,MATCH('Cash flow forecast'!$B198,Assumptions!$A$177:$A$197,0))="Salary",IF(AND('Cash flow forecast'!F$5&gt;=Assumptions!$E178,'Cash flow forecast'!F$5&lt;=Assumptions!$F178),Assumptions!$B178/12,0),IF(AND('Cash flow forecast'!F$5&gt;=Assumptions!$E178,'Cash flow forecast'!F$5&lt;=Assumptions!$F178),Assumptions!$C178*Assumptions!$D178,0)),"")</f>
        <v>0</v>
      </c>
      <c r="G198" s="222">
        <f>IFERROR(IF(INDEX(Assumptions!$G$177:$G$197,MATCH('Cash flow forecast'!$B198,Assumptions!$A$177:$A$197,0))="Salary",IF(AND('Cash flow forecast'!G$5&gt;=Assumptions!$E178,'Cash flow forecast'!G$5&lt;=Assumptions!$F178),Assumptions!$B178/12,0),IF(AND('Cash flow forecast'!G$5&gt;=Assumptions!$E178,'Cash flow forecast'!G$5&lt;=Assumptions!$F178),Assumptions!$C178*Assumptions!$D178,0)),"")</f>
        <v>0</v>
      </c>
      <c r="H198" s="222">
        <f>IFERROR(IF(INDEX(Assumptions!$G$177:$G$197,MATCH('Cash flow forecast'!$B198,Assumptions!$A$177:$A$197,0))="Salary",IF(AND('Cash flow forecast'!H$5&gt;=Assumptions!$E178,'Cash flow forecast'!H$5&lt;=Assumptions!$F178),Assumptions!$B178/12,0),IF(AND('Cash flow forecast'!H$5&gt;=Assumptions!$E178,'Cash flow forecast'!H$5&lt;=Assumptions!$F178),Assumptions!$C178*Assumptions!$D178,0)),"")</f>
        <v>8333.3333333333339</v>
      </c>
      <c r="I198" s="222">
        <f>IFERROR(IF(INDEX(Assumptions!$G$177:$G$197,MATCH('Cash flow forecast'!$B198,Assumptions!$A$177:$A$197,0))="Salary",IF(AND('Cash flow forecast'!I$5&gt;=Assumptions!$E178,'Cash flow forecast'!I$5&lt;=Assumptions!$F178),Assumptions!$B178/12,0),IF(AND('Cash flow forecast'!I$5&gt;=Assumptions!$E178,'Cash flow forecast'!I$5&lt;=Assumptions!$F178),Assumptions!$C178*Assumptions!$D178,0)),"")</f>
        <v>8333.3333333333339</v>
      </c>
      <c r="J198" s="222">
        <f>IFERROR(IF(INDEX(Assumptions!$G$177:$G$197,MATCH('Cash flow forecast'!$B198,Assumptions!$A$177:$A$197,0))="Salary",IF(AND('Cash flow forecast'!J$5&gt;=Assumptions!$E178,'Cash flow forecast'!J$5&lt;=Assumptions!$F178),Assumptions!$B178/12,0),IF(AND('Cash flow forecast'!J$5&gt;=Assumptions!$E178,'Cash flow forecast'!J$5&lt;=Assumptions!$F178),Assumptions!$C178*Assumptions!$D178,0)),"")</f>
        <v>8333.3333333333339</v>
      </c>
      <c r="K198" s="222">
        <f>IFERROR(IF(INDEX(Assumptions!$G$177:$G$197,MATCH('Cash flow forecast'!$B198,Assumptions!$A$177:$A$197,0))="Salary",IF(AND('Cash flow forecast'!K$5&gt;=Assumptions!$E178,'Cash flow forecast'!K$5&lt;=Assumptions!$F178),Assumptions!$B178/12,0),IF(AND('Cash flow forecast'!K$5&gt;=Assumptions!$E178,'Cash flow forecast'!K$5&lt;=Assumptions!$F178),Assumptions!$C178*Assumptions!$D178,0)),"")</f>
        <v>8333.3333333333339</v>
      </c>
      <c r="L198" s="222">
        <f>IFERROR(IF(INDEX(Assumptions!$G$177:$G$197,MATCH('Cash flow forecast'!$B198,Assumptions!$A$177:$A$197,0))="Salary",IF(AND('Cash flow forecast'!L$5&gt;=Assumptions!$E178,'Cash flow forecast'!L$5&lt;=Assumptions!$F178),Assumptions!$B178/12,0),IF(AND('Cash flow forecast'!L$5&gt;=Assumptions!$E178,'Cash flow forecast'!L$5&lt;=Assumptions!$F178),Assumptions!$C178*Assumptions!$D178,0)),"")</f>
        <v>8333.3333333333339</v>
      </c>
      <c r="M198" s="222">
        <f>IFERROR(IF(INDEX(Assumptions!$G$177:$G$197,MATCH('Cash flow forecast'!$B198,Assumptions!$A$177:$A$197,0))="Salary",IF(AND('Cash flow forecast'!M$5&gt;=Assumptions!$E178,'Cash flow forecast'!M$5&lt;=Assumptions!$F178),Assumptions!$B178/12,0),IF(AND('Cash flow forecast'!M$5&gt;=Assumptions!$E178,'Cash flow forecast'!M$5&lt;=Assumptions!$F178),Assumptions!$C178*Assumptions!$D178,0)),"")</f>
        <v>8333.3333333333339</v>
      </c>
      <c r="N198" s="223">
        <f>IFERROR(IF(INDEX(Assumptions!$G$177:$G$197,MATCH('Cash flow forecast'!$B198,Assumptions!$A$177:$A$197,0))="Salary",IF(AND('Cash flow forecast'!N$5&gt;=Assumptions!$E178,'Cash flow forecast'!N$5&lt;=Assumptions!$F178),Assumptions!$B178/12,0),IF(AND('Cash flow forecast'!N$5&gt;=Assumptions!$E178,'Cash flow forecast'!N$5&lt;=Assumptions!$F178),Assumptions!$C178*Assumptions!$D178,0)),"")</f>
        <v>8333.3333333333339</v>
      </c>
      <c r="O198" s="221">
        <f>IFERROR(IF(INDEX(Assumptions!$G$177:$G$197,MATCH('Cash flow forecast'!$B198,Assumptions!$A$177:$A$197,0))="Salary",IF(AND('Cash flow forecast'!O$5&gt;=Assumptions!$E178,'Cash flow forecast'!O$5&lt;=Assumptions!$F178),Assumptions!$B178/12,0),IF(AND('Cash flow forecast'!O$5&gt;=Assumptions!$E178,'Cash flow forecast'!O$5&lt;=Assumptions!$F178),Assumptions!$C178*Assumptions!$D178,0)),"")</f>
        <v>8333.3333333333339</v>
      </c>
      <c r="P198" s="222">
        <f>IFERROR(IF(INDEX(Assumptions!$G$177:$G$197,MATCH('Cash flow forecast'!$B198,Assumptions!$A$177:$A$197,0))="Salary",IF(AND('Cash flow forecast'!P$5&gt;=Assumptions!$E178,'Cash flow forecast'!P$5&lt;=Assumptions!$F178),Assumptions!$B178/12,0),IF(AND('Cash flow forecast'!P$5&gt;=Assumptions!$E178,'Cash flow forecast'!P$5&lt;=Assumptions!$F178),Assumptions!$C178*Assumptions!$D178,0)),"")</f>
        <v>8333.3333333333339</v>
      </c>
      <c r="Q198" s="222">
        <f>IFERROR(IF(INDEX(Assumptions!$G$177:$G$197,MATCH('Cash flow forecast'!$B198,Assumptions!$A$177:$A$197,0))="Salary",IF(AND('Cash flow forecast'!Q$5&gt;=Assumptions!$E178,'Cash flow forecast'!Q$5&lt;=Assumptions!$F178),Assumptions!$B178/12,0),IF(AND('Cash flow forecast'!Q$5&gt;=Assumptions!$E178,'Cash flow forecast'!Q$5&lt;=Assumptions!$F178),Assumptions!$C178*Assumptions!$D178,0)),"")</f>
        <v>8333.3333333333339</v>
      </c>
      <c r="R198" s="222">
        <f>IFERROR(IF(INDEX(Assumptions!$G$177:$G$197,MATCH('Cash flow forecast'!$B198,Assumptions!$A$177:$A$197,0))="Salary",IF(AND('Cash flow forecast'!R$5&gt;=Assumptions!$E178,'Cash flow forecast'!R$5&lt;=Assumptions!$F178),Assumptions!$B178/12,0),IF(AND('Cash flow forecast'!R$5&gt;=Assumptions!$E178,'Cash flow forecast'!R$5&lt;=Assumptions!$F178),Assumptions!$C178*Assumptions!$D178,0)),"")</f>
        <v>8333.3333333333339</v>
      </c>
      <c r="S198" s="222">
        <f>IFERROR(IF(INDEX(Assumptions!$G$177:$G$197,MATCH('Cash flow forecast'!$B198,Assumptions!$A$177:$A$197,0))="Salary",IF(AND('Cash flow forecast'!S$5&gt;=Assumptions!$E178,'Cash flow forecast'!S$5&lt;=Assumptions!$F178),Assumptions!$B178/12,0),IF(AND('Cash flow forecast'!S$5&gt;=Assumptions!$E178,'Cash flow forecast'!S$5&lt;=Assumptions!$F178),Assumptions!$C178*Assumptions!$D178,0)),"")</f>
        <v>8333.3333333333339</v>
      </c>
      <c r="T198" s="222">
        <f>IFERROR(IF(INDEX(Assumptions!$G$177:$G$197,MATCH('Cash flow forecast'!$B198,Assumptions!$A$177:$A$197,0))="Salary",IF(AND('Cash flow forecast'!T$5&gt;=Assumptions!$E178,'Cash flow forecast'!T$5&lt;=Assumptions!$F178),Assumptions!$B178/12,0),IF(AND('Cash flow forecast'!T$5&gt;=Assumptions!$E178,'Cash flow forecast'!T$5&lt;=Assumptions!$F178),Assumptions!$C178*Assumptions!$D178,0)),"")</f>
        <v>8333.3333333333339</v>
      </c>
      <c r="U198" s="222">
        <f>IFERROR(IF(INDEX(Assumptions!$G$177:$G$197,MATCH('Cash flow forecast'!$B198,Assumptions!$A$177:$A$197,0))="Salary",IF(AND('Cash flow forecast'!U$5&gt;=Assumptions!$E178,'Cash flow forecast'!U$5&lt;=Assumptions!$F178),Assumptions!$B178/12,0),IF(AND('Cash flow forecast'!U$5&gt;=Assumptions!$E178,'Cash flow forecast'!U$5&lt;=Assumptions!$F178),Assumptions!$C178*Assumptions!$D178,0)),"")</f>
        <v>8333.3333333333339</v>
      </c>
      <c r="V198" s="222">
        <f>IFERROR(IF(INDEX(Assumptions!$G$177:$G$197,MATCH('Cash flow forecast'!$B198,Assumptions!$A$177:$A$197,0))="Salary",IF(AND('Cash flow forecast'!V$5&gt;=Assumptions!$E178,'Cash flow forecast'!V$5&lt;=Assumptions!$F178),Assumptions!$B178/12,0),IF(AND('Cash flow forecast'!V$5&gt;=Assumptions!$E178,'Cash flow forecast'!V$5&lt;=Assumptions!$F178),Assumptions!$C178*Assumptions!$D178,0)),"")</f>
        <v>8333.3333333333339</v>
      </c>
      <c r="W198" s="222">
        <f>IFERROR(IF(INDEX(Assumptions!$G$177:$G$197,MATCH('Cash flow forecast'!$B198,Assumptions!$A$177:$A$197,0))="Salary",IF(AND('Cash flow forecast'!W$5&gt;=Assumptions!$E178,'Cash flow forecast'!W$5&lt;=Assumptions!$F178),Assumptions!$B178/12,0),IF(AND('Cash flow forecast'!W$5&gt;=Assumptions!$E178,'Cash flow forecast'!W$5&lt;=Assumptions!$F178),Assumptions!$C178*Assumptions!$D178,0)),"")</f>
        <v>8333.3333333333339</v>
      </c>
      <c r="X198" s="222">
        <f>IFERROR(IF(INDEX(Assumptions!$G$177:$G$197,MATCH('Cash flow forecast'!$B198,Assumptions!$A$177:$A$197,0))="Salary",IF(AND('Cash flow forecast'!X$5&gt;=Assumptions!$E178,'Cash flow forecast'!X$5&lt;=Assumptions!$F178),Assumptions!$B178/12,0),IF(AND('Cash flow forecast'!X$5&gt;=Assumptions!$E178,'Cash flow forecast'!X$5&lt;=Assumptions!$F178),Assumptions!$C178*Assumptions!$D178,0)),"")</f>
        <v>8333.3333333333339</v>
      </c>
      <c r="Y198" s="222">
        <f>IFERROR(IF(INDEX(Assumptions!$G$177:$G$197,MATCH('Cash flow forecast'!$B198,Assumptions!$A$177:$A$197,0))="Salary",IF(AND('Cash flow forecast'!Y$5&gt;=Assumptions!$E178,'Cash flow forecast'!Y$5&lt;=Assumptions!$F178),Assumptions!$B178/12,0),IF(AND('Cash flow forecast'!Y$5&gt;=Assumptions!$E178,'Cash flow forecast'!Y$5&lt;=Assumptions!$F178),Assumptions!$C178*Assumptions!$D178,0)),"")</f>
        <v>8333.3333333333339</v>
      </c>
      <c r="Z198" s="223">
        <f>IFERROR(IF(INDEX(Assumptions!$G$177:$G$197,MATCH('Cash flow forecast'!$B198,Assumptions!$A$177:$A$197,0))="Salary",IF(AND('Cash flow forecast'!Z$5&gt;=Assumptions!$E178,'Cash flow forecast'!Z$5&lt;=Assumptions!$F178),Assumptions!$B178/12,0),IF(AND('Cash flow forecast'!Z$5&gt;=Assumptions!$E178,'Cash flow forecast'!Z$5&lt;=Assumptions!$F178),Assumptions!$C178*Assumptions!$D178,0)),"")</f>
        <v>8333.3333333333339</v>
      </c>
      <c r="AA198" s="221">
        <f t="shared" si="185"/>
        <v>16666.666666666668</v>
      </c>
      <c r="AB198" s="224">
        <f t="shared" si="185"/>
        <v>0</v>
      </c>
      <c r="AC198" s="224">
        <f t="shared" si="185"/>
        <v>16666.666666666668</v>
      </c>
      <c r="AD198" s="223">
        <f t="shared" si="185"/>
        <v>25000</v>
      </c>
      <c r="AE198" s="225">
        <f t="shared" si="186"/>
        <v>58333.333333333343</v>
      </c>
      <c r="AF198" s="221">
        <f t="shared" ref="AF198:AI217" si="188">SUMIFS($O198:$Z198,$O$6:$Z$6,AF$5)</f>
        <v>25000</v>
      </c>
      <c r="AG198" s="224">
        <f t="shared" si="187"/>
        <v>25000</v>
      </c>
      <c r="AH198" s="224">
        <f t="shared" si="187"/>
        <v>25000</v>
      </c>
      <c r="AI198" s="223">
        <f t="shared" si="187"/>
        <v>25000</v>
      </c>
      <c r="AJ198" s="225">
        <f t="shared" ref="AJ198:AJ217" si="189">SUM($O198:$Z198)</f>
        <v>99999.999999999985</v>
      </c>
      <c r="AK198" s="243">
        <f t="shared" si="182"/>
        <v>0.15487241597330231</v>
      </c>
    </row>
    <row r="199" spans="2:37" ht="22.15" hidden="1" customHeight="1" outlineLevel="1" x14ac:dyDescent="0.25">
      <c r="B199" s="91" t="str">
        <f>IF(Assumptions!$A179="","",Assumptions!$A179)</f>
        <v>Test 3</v>
      </c>
      <c r="C199" s="221">
        <f>IFERROR(IF(INDEX(Assumptions!$G$177:$G$197,MATCH('Cash flow forecast'!$B199,Assumptions!$A$177:$A$197,0))="Salary",IF(AND('Cash flow forecast'!C$5&gt;=Assumptions!$E179,'Cash flow forecast'!C$5&lt;=Assumptions!$F179),Assumptions!$B179/12,0),IF(AND('Cash flow forecast'!C$5&gt;=Assumptions!$E179,'Cash flow forecast'!C$5&lt;=Assumptions!$F179),Assumptions!$C179*Assumptions!$D179,0)),"")</f>
        <v>0</v>
      </c>
      <c r="D199" s="222">
        <f>IFERROR(IF(INDEX(Assumptions!$G$177:$G$197,MATCH('Cash flow forecast'!$B199,Assumptions!$A$177:$A$197,0))="Salary",IF(AND('Cash flow forecast'!D$5&gt;=Assumptions!$E179,'Cash flow forecast'!D$5&lt;=Assumptions!$F179),Assumptions!$B179/12,0),IF(AND('Cash flow forecast'!D$5&gt;=Assumptions!$E179,'Cash flow forecast'!D$5&lt;=Assumptions!$F179),Assumptions!$C179*Assumptions!$D179,0)),"")</f>
        <v>0</v>
      </c>
      <c r="E199" s="222">
        <f>IFERROR(IF(INDEX(Assumptions!$G$177:$G$197,MATCH('Cash flow forecast'!$B199,Assumptions!$A$177:$A$197,0))="Salary",IF(AND('Cash flow forecast'!E$5&gt;=Assumptions!$E179,'Cash flow forecast'!E$5&lt;=Assumptions!$F179),Assumptions!$B179/12,0),IF(AND('Cash flow forecast'!E$5&gt;=Assumptions!$E179,'Cash flow forecast'!E$5&lt;=Assumptions!$F179),Assumptions!$C179*Assumptions!$D179,0)),"")</f>
        <v>0</v>
      </c>
      <c r="F199" s="222">
        <f>IFERROR(IF(INDEX(Assumptions!$G$177:$G$197,MATCH('Cash flow forecast'!$B199,Assumptions!$A$177:$A$197,0))="Salary",IF(AND('Cash flow forecast'!F$5&gt;=Assumptions!$E179,'Cash flow forecast'!F$5&lt;=Assumptions!$F179),Assumptions!$B179/12,0),IF(AND('Cash flow forecast'!F$5&gt;=Assumptions!$E179,'Cash flow forecast'!F$5&lt;=Assumptions!$F179),Assumptions!$C179*Assumptions!$D179,0)),"")</f>
        <v>500</v>
      </c>
      <c r="G199" s="222">
        <f>IFERROR(IF(INDEX(Assumptions!$G$177:$G$197,MATCH('Cash flow forecast'!$B199,Assumptions!$A$177:$A$197,0))="Salary",IF(AND('Cash flow forecast'!G$5&gt;=Assumptions!$E179,'Cash flow forecast'!G$5&lt;=Assumptions!$F179),Assumptions!$B179/12,0),IF(AND('Cash flow forecast'!G$5&gt;=Assumptions!$E179,'Cash flow forecast'!G$5&lt;=Assumptions!$F179),Assumptions!$C179*Assumptions!$D179,0)),"")</f>
        <v>500</v>
      </c>
      <c r="H199" s="222">
        <f>IFERROR(IF(INDEX(Assumptions!$G$177:$G$197,MATCH('Cash flow forecast'!$B199,Assumptions!$A$177:$A$197,0))="Salary",IF(AND('Cash flow forecast'!H$5&gt;=Assumptions!$E179,'Cash flow forecast'!H$5&lt;=Assumptions!$F179),Assumptions!$B179/12,0),IF(AND('Cash flow forecast'!H$5&gt;=Assumptions!$E179,'Cash flow forecast'!H$5&lt;=Assumptions!$F179),Assumptions!$C179*Assumptions!$D179,0)),"")</f>
        <v>500</v>
      </c>
      <c r="I199" s="222">
        <f>IFERROR(IF(INDEX(Assumptions!$G$177:$G$197,MATCH('Cash flow forecast'!$B199,Assumptions!$A$177:$A$197,0))="Salary",IF(AND('Cash flow forecast'!I$5&gt;=Assumptions!$E179,'Cash flow forecast'!I$5&lt;=Assumptions!$F179),Assumptions!$B179/12,0),IF(AND('Cash flow forecast'!I$5&gt;=Assumptions!$E179,'Cash flow forecast'!I$5&lt;=Assumptions!$F179),Assumptions!$C179*Assumptions!$D179,0)),"")</f>
        <v>500</v>
      </c>
      <c r="J199" s="222">
        <f>IFERROR(IF(INDEX(Assumptions!$G$177:$G$197,MATCH('Cash flow forecast'!$B199,Assumptions!$A$177:$A$197,0))="Salary",IF(AND('Cash flow forecast'!J$5&gt;=Assumptions!$E179,'Cash flow forecast'!J$5&lt;=Assumptions!$F179),Assumptions!$B179/12,0),IF(AND('Cash flow forecast'!J$5&gt;=Assumptions!$E179,'Cash flow forecast'!J$5&lt;=Assumptions!$F179),Assumptions!$C179*Assumptions!$D179,0)),"")</f>
        <v>500</v>
      </c>
      <c r="K199" s="222">
        <f>IFERROR(IF(INDEX(Assumptions!$G$177:$G$197,MATCH('Cash flow forecast'!$B199,Assumptions!$A$177:$A$197,0))="Salary",IF(AND('Cash flow forecast'!K$5&gt;=Assumptions!$E179,'Cash flow forecast'!K$5&lt;=Assumptions!$F179),Assumptions!$B179/12,0),IF(AND('Cash flow forecast'!K$5&gt;=Assumptions!$E179,'Cash flow forecast'!K$5&lt;=Assumptions!$F179),Assumptions!$C179*Assumptions!$D179,0)),"")</f>
        <v>500</v>
      </c>
      <c r="L199" s="222">
        <f>IFERROR(IF(INDEX(Assumptions!$G$177:$G$197,MATCH('Cash flow forecast'!$B199,Assumptions!$A$177:$A$197,0))="Salary",IF(AND('Cash flow forecast'!L$5&gt;=Assumptions!$E179,'Cash flow forecast'!L$5&lt;=Assumptions!$F179),Assumptions!$B179/12,0),IF(AND('Cash flow forecast'!L$5&gt;=Assumptions!$E179,'Cash flow forecast'!L$5&lt;=Assumptions!$F179),Assumptions!$C179*Assumptions!$D179,0)),"")</f>
        <v>500</v>
      </c>
      <c r="M199" s="222">
        <f>IFERROR(IF(INDEX(Assumptions!$G$177:$G$197,MATCH('Cash flow forecast'!$B199,Assumptions!$A$177:$A$197,0))="Salary",IF(AND('Cash flow forecast'!M$5&gt;=Assumptions!$E179,'Cash flow forecast'!M$5&lt;=Assumptions!$F179),Assumptions!$B179/12,0),IF(AND('Cash flow forecast'!M$5&gt;=Assumptions!$E179,'Cash flow forecast'!M$5&lt;=Assumptions!$F179),Assumptions!$C179*Assumptions!$D179,0)),"")</f>
        <v>500</v>
      </c>
      <c r="N199" s="223">
        <f>IFERROR(IF(INDEX(Assumptions!$G$177:$G$197,MATCH('Cash flow forecast'!$B199,Assumptions!$A$177:$A$197,0))="Salary",IF(AND('Cash flow forecast'!N$5&gt;=Assumptions!$E179,'Cash flow forecast'!N$5&lt;=Assumptions!$F179),Assumptions!$B179/12,0),IF(AND('Cash flow forecast'!N$5&gt;=Assumptions!$E179,'Cash flow forecast'!N$5&lt;=Assumptions!$F179),Assumptions!$C179*Assumptions!$D179,0)),"")</f>
        <v>500</v>
      </c>
      <c r="O199" s="221">
        <f>IFERROR(IF(INDEX(Assumptions!$G$177:$G$197,MATCH('Cash flow forecast'!$B199,Assumptions!$A$177:$A$197,0))="Salary",IF(AND('Cash flow forecast'!O$5&gt;=Assumptions!$E179,'Cash flow forecast'!O$5&lt;=Assumptions!$F179),Assumptions!$B179/12,0),IF(AND('Cash flow forecast'!O$5&gt;=Assumptions!$E179,'Cash flow forecast'!O$5&lt;=Assumptions!$F179),Assumptions!$C179*Assumptions!$D179,0)),"")</f>
        <v>500</v>
      </c>
      <c r="P199" s="222">
        <f>IFERROR(IF(INDEX(Assumptions!$G$177:$G$197,MATCH('Cash flow forecast'!$B199,Assumptions!$A$177:$A$197,0))="Salary",IF(AND('Cash flow forecast'!P$5&gt;=Assumptions!$E179,'Cash flow forecast'!P$5&lt;=Assumptions!$F179),Assumptions!$B179/12,0),IF(AND('Cash flow forecast'!P$5&gt;=Assumptions!$E179,'Cash flow forecast'!P$5&lt;=Assumptions!$F179),Assumptions!$C179*Assumptions!$D179,0)),"")</f>
        <v>500</v>
      </c>
      <c r="Q199" s="222">
        <f>IFERROR(IF(INDEX(Assumptions!$G$177:$G$197,MATCH('Cash flow forecast'!$B199,Assumptions!$A$177:$A$197,0))="Salary",IF(AND('Cash flow forecast'!Q$5&gt;=Assumptions!$E179,'Cash flow forecast'!Q$5&lt;=Assumptions!$F179),Assumptions!$B179/12,0),IF(AND('Cash flow forecast'!Q$5&gt;=Assumptions!$E179,'Cash flow forecast'!Q$5&lt;=Assumptions!$F179),Assumptions!$C179*Assumptions!$D179,0)),"")</f>
        <v>500</v>
      </c>
      <c r="R199" s="222">
        <f>IFERROR(IF(INDEX(Assumptions!$G$177:$G$197,MATCH('Cash flow forecast'!$B199,Assumptions!$A$177:$A$197,0))="Salary",IF(AND('Cash flow forecast'!R$5&gt;=Assumptions!$E179,'Cash flow forecast'!R$5&lt;=Assumptions!$F179),Assumptions!$B179/12,0),IF(AND('Cash flow forecast'!R$5&gt;=Assumptions!$E179,'Cash flow forecast'!R$5&lt;=Assumptions!$F179),Assumptions!$C179*Assumptions!$D179,0)),"")</f>
        <v>500</v>
      </c>
      <c r="S199" s="222">
        <f>IFERROR(IF(INDEX(Assumptions!$G$177:$G$197,MATCH('Cash flow forecast'!$B199,Assumptions!$A$177:$A$197,0))="Salary",IF(AND('Cash flow forecast'!S$5&gt;=Assumptions!$E179,'Cash flow forecast'!S$5&lt;=Assumptions!$F179),Assumptions!$B179/12,0),IF(AND('Cash flow forecast'!S$5&gt;=Assumptions!$E179,'Cash flow forecast'!S$5&lt;=Assumptions!$F179),Assumptions!$C179*Assumptions!$D179,0)),"")</f>
        <v>500</v>
      </c>
      <c r="T199" s="222">
        <f>IFERROR(IF(INDEX(Assumptions!$G$177:$G$197,MATCH('Cash flow forecast'!$B199,Assumptions!$A$177:$A$197,0))="Salary",IF(AND('Cash flow forecast'!T$5&gt;=Assumptions!$E179,'Cash flow forecast'!T$5&lt;=Assumptions!$F179),Assumptions!$B179/12,0),IF(AND('Cash flow forecast'!T$5&gt;=Assumptions!$E179,'Cash flow forecast'!T$5&lt;=Assumptions!$F179),Assumptions!$C179*Assumptions!$D179,0)),"")</f>
        <v>500</v>
      </c>
      <c r="U199" s="222">
        <f>IFERROR(IF(INDEX(Assumptions!$G$177:$G$197,MATCH('Cash flow forecast'!$B199,Assumptions!$A$177:$A$197,0))="Salary",IF(AND('Cash flow forecast'!U$5&gt;=Assumptions!$E179,'Cash flow forecast'!U$5&lt;=Assumptions!$F179),Assumptions!$B179/12,0),IF(AND('Cash flow forecast'!U$5&gt;=Assumptions!$E179,'Cash flow forecast'!U$5&lt;=Assumptions!$F179),Assumptions!$C179*Assumptions!$D179,0)),"")</f>
        <v>500</v>
      </c>
      <c r="V199" s="222">
        <f>IFERROR(IF(INDEX(Assumptions!$G$177:$G$197,MATCH('Cash flow forecast'!$B199,Assumptions!$A$177:$A$197,0))="Salary",IF(AND('Cash flow forecast'!V$5&gt;=Assumptions!$E179,'Cash flow forecast'!V$5&lt;=Assumptions!$F179),Assumptions!$B179/12,0),IF(AND('Cash flow forecast'!V$5&gt;=Assumptions!$E179,'Cash flow forecast'!V$5&lt;=Assumptions!$F179),Assumptions!$C179*Assumptions!$D179,0)),"")</f>
        <v>500</v>
      </c>
      <c r="W199" s="222">
        <f>IFERROR(IF(INDEX(Assumptions!$G$177:$G$197,MATCH('Cash flow forecast'!$B199,Assumptions!$A$177:$A$197,0))="Salary",IF(AND('Cash flow forecast'!W$5&gt;=Assumptions!$E179,'Cash flow forecast'!W$5&lt;=Assumptions!$F179),Assumptions!$B179/12,0),IF(AND('Cash flow forecast'!W$5&gt;=Assumptions!$E179,'Cash flow forecast'!W$5&lt;=Assumptions!$F179),Assumptions!$C179*Assumptions!$D179,0)),"")</f>
        <v>500</v>
      </c>
      <c r="X199" s="222">
        <f>IFERROR(IF(INDEX(Assumptions!$G$177:$G$197,MATCH('Cash flow forecast'!$B199,Assumptions!$A$177:$A$197,0))="Salary",IF(AND('Cash flow forecast'!X$5&gt;=Assumptions!$E179,'Cash flow forecast'!X$5&lt;=Assumptions!$F179),Assumptions!$B179/12,0),IF(AND('Cash flow forecast'!X$5&gt;=Assumptions!$E179,'Cash flow forecast'!X$5&lt;=Assumptions!$F179),Assumptions!$C179*Assumptions!$D179,0)),"")</f>
        <v>500</v>
      </c>
      <c r="Y199" s="222">
        <f>IFERROR(IF(INDEX(Assumptions!$G$177:$G$197,MATCH('Cash flow forecast'!$B199,Assumptions!$A$177:$A$197,0))="Salary",IF(AND('Cash flow forecast'!Y$5&gt;=Assumptions!$E179,'Cash flow forecast'!Y$5&lt;=Assumptions!$F179),Assumptions!$B179/12,0),IF(AND('Cash flow forecast'!Y$5&gt;=Assumptions!$E179,'Cash flow forecast'!Y$5&lt;=Assumptions!$F179),Assumptions!$C179*Assumptions!$D179,0)),"")</f>
        <v>500</v>
      </c>
      <c r="Z199" s="223">
        <f>IFERROR(IF(INDEX(Assumptions!$G$177:$G$197,MATCH('Cash flow forecast'!$B199,Assumptions!$A$177:$A$197,0))="Salary",IF(AND('Cash flow forecast'!Z$5&gt;=Assumptions!$E179,'Cash flow forecast'!Z$5&lt;=Assumptions!$F179),Assumptions!$B179/12,0),IF(AND('Cash flow forecast'!Z$5&gt;=Assumptions!$E179,'Cash flow forecast'!Z$5&lt;=Assumptions!$F179),Assumptions!$C179*Assumptions!$D179,0)),"")</f>
        <v>500</v>
      </c>
      <c r="AA199" s="221">
        <f t="shared" si="185"/>
        <v>1000</v>
      </c>
      <c r="AB199" s="224">
        <f t="shared" si="185"/>
        <v>500</v>
      </c>
      <c r="AC199" s="224">
        <f t="shared" si="185"/>
        <v>1500</v>
      </c>
      <c r="AD199" s="223">
        <f t="shared" si="185"/>
        <v>1500</v>
      </c>
      <c r="AE199" s="225">
        <f t="shared" si="186"/>
        <v>4500</v>
      </c>
      <c r="AF199" s="221">
        <f t="shared" si="188"/>
        <v>1500</v>
      </c>
      <c r="AG199" s="224">
        <f t="shared" si="187"/>
        <v>1500</v>
      </c>
      <c r="AH199" s="224">
        <f t="shared" si="187"/>
        <v>1500</v>
      </c>
      <c r="AI199" s="223">
        <f t="shared" si="187"/>
        <v>1500</v>
      </c>
      <c r="AJ199" s="225">
        <f t="shared" si="189"/>
        <v>6000</v>
      </c>
      <c r="AK199" s="243">
        <f t="shared" si="182"/>
        <v>1.0270486532966364E-2</v>
      </c>
    </row>
    <row r="200" spans="2:37" ht="22.15" hidden="1" customHeight="1" outlineLevel="1" x14ac:dyDescent="0.25">
      <c r="B200" s="91" t="str">
        <f>IF(Assumptions!$A180="","",Assumptions!$A180)</f>
        <v>Test 4</v>
      </c>
      <c r="C200" s="221">
        <f>IFERROR(IF(INDEX(Assumptions!$G$177:$G$197,MATCH('Cash flow forecast'!$B200,Assumptions!$A$177:$A$197,0))="Salary",IF(AND('Cash flow forecast'!C$5&gt;=Assumptions!$E180,'Cash flow forecast'!C$5&lt;=Assumptions!$F180),Assumptions!$B180/12,0),IF(AND('Cash flow forecast'!C$5&gt;=Assumptions!$E180,'Cash flow forecast'!C$5&lt;=Assumptions!$F180),Assumptions!$C180*Assumptions!$D180,0)),"")</f>
        <v>7200</v>
      </c>
      <c r="D200" s="222">
        <f>IFERROR(IF(INDEX(Assumptions!$G$177:$G$197,MATCH('Cash flow forecast'!$B200,Assumptions!$A$177:$A$197,0))="Salary",IF(AND('Cash flow forecast'!D$5&gt;=Assumptions!$E180,'Cash flow forecast'!D$5&lt;=Assumptions!$F180),Assumptions!$B180/12,0),IF(AND('Cash flow forecast'!D$5&gt;=Assumptions!$E180,'Cash flow forecast'!D$5&lt;=Assumptions!$F180),Assumptions!$C180*Assumptions!$D180,0)),"")</f>
        <v>7200</v>
      </c>
      <c r="E200" s="222">
        <f>IFERROR(IF(INDEX(Assumptions!$G$177:$G$197,MATCH('Cash flow forecast'!$B200,Assumptions!$A$177:$A$197,0))="Salary",IF(AND('Cash flow forecast'!E$5&gt;=Assumptions!$E180,'Cash flow forecast'!E$5&lt;=Assumptions!$F180),Assumptions!$B180/12,0),IF(AND('Cash flow forecast'!E$5&gt;=Assumptions!$E180,'Cash flow forecast'!E$5&lt;=Assumptions!$F180),Assumptions!$C180*Assumptions!$D180,0)),"")</f>
        <v>7200</v>
      </c>
      <c r="F200" s="222">
        <f>IFERROR(IF(INDEX(Assumptions!$G$177:$G$197,MATCH('Cash flow forecast'!$B200,Assumptions!$A$177:$A$197,0))="Salary",IF(AND('Cash flow forecast'!F$5&gt;=Assumptions!$E180,'Cash flow forecast'!F$5&lt;=Assumptions!$F180),Assumptions!$B180/12,0),IF(AND('Cash flow forecast'!F$5&gt;=Assumptions!$E180,'Cash flow forecast'!F$5&lt;=Assumptions!$F180),Assumptions!$C180*Assumptions!$D180,0)),"")</f>
        <v>7200</v>
      </c>
      <c r="G200" s="222">
        <f>IFERROR(IF(INDEX(Assumptions!$G$177:$G$197,MATCH('Cash flow forecast'!$B200,Assumptions!$A$177:$A$197,0))="Salary",IF(AND('Cash flow forecast'!G$5&gt;=Assumptions!$E180,'Cash flow forecast'!G$5&lt;=Assumptions!$F180),Assumptions!$B180/12,0),IF(AND('Cash flow forecast'!G$5&gt;=Assumptions!$E180,'Cash flow forecast'!G$5&lt;=Assumptions!$F180),Assumptions!$C180*Assumptions!$D180,0)),"")</f>
        <v>7200</v>
      </c>
      <c r="H200" s="222">
        <f>IFERROR(IF(INDEX(Assumptions!$G$177:$G$197,MATCH('Cash flow forecast'!$B200,Assumptions!$A$177:$A$197,0))="Salary",IF(AND('Cash flow forecast'!H$5&gt;=Assumptions!$E180,'Cash flow forecast'!H$5&lt;=Assumptions!$F180),Assumptions!$B180/12,0),IF(AND('Cash flow forecast'!H$5&gt;=Assumptions!$E180,'Cash flow forecast'!H$5&lt;=Assumptions!$F180),Assumptions!$C180*Assumptions!$D180,0)),"")</f>
        <v>7200</v>
      </c>
      <c r="I200" s="222">
        <f>IFERROR(IF(INDEX(Assumptions!$G$177:$G$197,MATCH('Cash flow forecast'!$B200,Assumptions!$A$177:$A$197,0))="Salary",IF(AND('Cash flow forecast'!I$5&gt;=Assumptions!$E180,'Cash flow forecast'!I$5&lt;=Assumptions!$F180),Assumptions!$B180/12,0),IF(AND('Cash flow forecast'!I$5&gt;=Assumptions!$E180,'Cash flow forecast'!I$5&lt;=Assumptions!$F180),Assumptions!$C180*Assumptions!$D180,0)),"")</f>
        <v>7200</v>
      </c>
      <c r="J200" s="222">
        <f>IFERROR(IF(INDEX(Assumptions!$G$177:$G$197,MATCH('Cash flow forecast'!$B200,Assumptions!$A$177:$A$197,0))="Salary",IF(AND('Cash flow forecast'!J$5&gt;=Assumptions!$E180,'Cash flow forecast'!J$5&lt;=Assumptions!$F180),Assumptions!$B180/12,0),IF(AND('Cash flow forecast'!J$5&gt;=Assumptions!$E180,'Cash flow forecast'!J$5&lt;=Assumptions!$F180),Assumptions!$C180*Assumptions!$D180,0)),"")</f>
        <v>7200</v>
      </c>
      <c r="K200" s="222">
        <f>IFERROR(IF(INDEX(Assumptions!$G$177:$G$197,MATCH('Cash flow forecast'!$B200,Assumptions!$A$177:$A$197,0))="Salary",IF(AND('Cash flow forecast'!K$5&gt;=Assumptions!$E180,'Cash flow forecast'!K$5&lt;=Assumptions!$F180),Assumptions!$B180/12,0),IF(AND('Cash flow forecast'!K$5&gt;=Assumptions!$E180,'Cash flow forecast'!K$5&lt;=Assumptions!$F180),Assumptions!$C180*Assumptions!$D180,0)),"")</f>
        <v>7200</v>
      </c>
      <c r="L200" s="222">
        <f>IFERROR(IF(INDEX(Assumptions!$G$177:$G$197,MATCH('Cash flow forecast'!$B200,Assumptions!$A$177:$A$197,0))="Salary",IF(AND('Cash flow forecast'!L$5&gt;=Assumptions!$E180,'Cash flow forecast'!L$5&lt;=Assumptions!$F180),Assumptions!$B180/12,0),IF(AND('Cash flow forecast'!L$5&gt;=Assumptions!$E180,'Cash flow forecast'!L$5&lt;=Assumptions!$F180),Assumptions!$C180*Assumptions!$D180,0)),"")</f>
        <v>7200</v>
      </c>
      <c r="M200" s="222">
        <f>IFERROR(IF(INDEX(Assumptions!$G$177:$G$197,MATCH('Cash flow forecast'!$B200,Assumptions!$A$177:$A$197,0))="Salary",IF(AND('Cash flow forecast'!M$5&gt;=Assumptions!$E180,'Cash flow forecast'!M$5&lt;=Assumptions!$F180),Assumptions!$B180/12,0),IF(AND('Cash flow forecast'!M$5&gt;=Assumptions!$E180,'Cash flow forecast'!M$5&lt;=Assumptions!$F180),Assumptions!$C180*Assumptions!$D180,0)),"")</f>
        <v>7200</v>
      </c>
      <c r="N200" s="223">
        <f>IFERROR(IF(INDEX(Assumptions!$G$177:$G$197,MATCH('Cash flow forecast'!$B200,Assumptions!$A$177:$A$197,0))="Salary",IF(AND('Cash flow forecast'!N$5&gt;=Assumptions!$E180,'Cash flow forecast'!N$5&lt;=Assumptions!$F180),Assumptions!$B180/12,0),IF(AND('Cash flow forecast'!N$5&gt;=Assumptions!$E180,'Cash flow forecast'!N$5&lt;=Assumptions!$F180),Assumptions!$C180*Assumptions!$D180,0)),"")</f>
        <v>7200</v>
      </c>
      <c r="O200" s="221">
        <f>IFERROR(IF(INDEX(Assumptions!$G$177:$G$197,MATCH('Cash flow forecast'!$B200,Assumptions!$A$177:$A$197,0))="Salary",IF(AND('Cash flow forecast'!O$5&gt;=Assumptions!$E180,'Cash flow forecast'!O$5&lt;=Assumptions!$F180),Assumptions!$B180/12,0),IF(AND('Cash flow forecast'!O$5&gt;=Assumptions!$E180,'Cash flow forecast'!O$5&lt;=Assumptions!$F180),Assumptions!$C180*Assumptions!$D180,0)),"")</f>
        <v>7200</v>
      </c>
      <c r="P200" s="222">
        <f>IFERROR(IF(INDEX(Assumptions!$G$177:$G$197,MATCH('Cash flow forecast'!$B200,Assumptions!$A$177:$A$197,0))="Salary",IF(AND('Cash flow forecast'!P$5&gt;=Assumptions!$E180,'Cash flow forecast'!P$5&lt;=Assumptions!$F180),Assumptions!$B180/12,0),IF(AND('Cash flow forecast'!P$5&gt;=Assumptions!$E180,'Cash flow forecast'!P$5&lt;=Assumptions!$F180),Assumptions!$C180*Assumptions!$D180,0)),"")</f>
        <v>7200</v>
      </c>
      <c r="Q200" s="222">
        <f>IFERROR(IF(INDEX(Assumptions!$G$177:$G$197,MATCH('Cash flow forecast'!$B200,Assumptions!$A$177:$A$197,0))="Salary",IF(AND('Cash flow forecast'!Q$5&gt;=Assumptions!$E180,'Cash flow forecast'!Q$5&lt;=Assumptions!$F180),Assumptions!$B180/12,0),IF(AND('Cash flow forecast'!Q$5&gt;=Assumptions!$E180,'Cash flow forecast'!Q$5&lt;=Assumptions!$F180),Assumptions!$C180*Assumptions!$D180,0)),"")</f>
        <v>7200</v>
      </c>
      <c r="R200" s="222">
        <f>IFERROR(IF(INDEX(Assumptions!$G$177:$G$197,MATCH('Cash flow forecast'!$B200,Assumptions!$A$177:$A$197,0))="Salary",IF(AND('Cash flow forecast'!R$5&gt;=Assumptions!$E180,'Cash flow forecast'!R$5&lt;=Assumptions!$F180),Assumptions!$B180/12,0),IF(AND('Cash flow forecast'!R$5&gt;=Assumptions!$E180,'Cash flow forecast'!R$5&lt;=Assumptions!$F180),Assumptions!$C180*Assumptions!$D180,0)),"")</f>
        <v>7200</v>
      </c>
      <c r="S200" s="222">
        <f>IFERROR(IF(INDEX(Assumptions!$G$177:$G$197,MATCH('Cash flow forecast'!$B200,Assumptions!$A$177:$A$197,0))="Salary",IF(AND('Cash flow forecast'!S$5&gt;=Assumptions!$E180,'Cash flow forecast'!S$5&lt;=Assumptions!$F180),Assumptions!$B180/12,0),IF(AND('Cash flow forecast'!S$5&gt;=Assumptions!$E180,'Cash flow forecast'!S$5&lt;=Assumptions!$F180),Assumptions!$C180*Assumptions!$D180,0)),"")</f>
        <v>7200</v>
      </c>
      <c r="T200" s="222">
        <f>IFERROR(IF(INDEX(Assumptions!$G$177:$G$197,MATCH('Cash flow forecast'!$B200,Assumptions!$A$177:$A$197,0))="Salary",IF(AND('Cash flow forecast'!T$5&gt;=Assumptions!$E180,'Cash flow forecast'!T$5&lt;=Assumptions!$F180),Assumptions!$B180/12,0),IF(AND('Cash flow forecast'!T$5&gt;=Assumptions!$E180,'Cash flow forecast'!T$5&lt;=Assumptions!$F180),Assumptions!$C180*Assumptions!$D180,0)),"")</f>
        <v>7200</v>
      </c>
      <c r="U200" s="222">
        <f>IFERROR(IF(INDEX(Assumptions!$G$177:$G$197,MATCH('Cash flow forecast'!$B200,Assumptions!$A$177:$A$197,0))="Salary",IF(AND('Cash flow forecast'!U$5&gt;=Assumptions!$E180,'Cash flow forecast'!U$5&lt;=Assumptions!$F180),Assumptions!$B180/12,0),IF(AND('Cash flow forecast'!U$5&gt;=Assumptions!$E180,'Cash flow forecast'!U$5&lt;=Assumptions!$F180),Assumptions!$C180*Assumptions!$D180,0)),"")</f>
        <v>7200</v>
      </c>
      <c r="V200" s="222">
        <f>IFERROR(IF(INDEX(Assumptions!$G$177:$G$197,MATCH('Cash flow forecast'!$B200,Assumptions!$A$177:$A$197,0))="Salary",IF(AND('Cash flow forecast'!V$5&gt;=Assumptions!$E180,'Cash flow forecast'!V$5&lt;=Assumptions!$F180),Assumptions!$B180/12,0),IF(AND('Cash flow forecast'!V$5&gt;=Assumptions!$E180,'Cash flow forecast'!V$5&lt;=Assumptions!$F180),Assumptions!$C180*Assumptions!$D180,0)),"")</f>
        <v>7200</v>
      </c>
      <c r="W200" s="222">
        <f>IFERROR(IF(INDEX(Assumptions!$G$177:$G$197,MATCH('Cash flow forecast'!$B200,Assumptions!$A$177:$A$197,0))="Salary",IF(AND('Cash flow forecast'!W$5&gt;=Assumptions!$E180,'Cash flow forecast'!W$5&lt;=Assumptions!$F180),Assumptions!$B180/12,0),IF(AND('Cash flow forecast'!W$5&gt;=Assumptions!$E180,'Cash flow forecast'!W$5&lt;=Assumptions!$F180),Assumptions!$C180*Assumptions!$D180,0)),"")</f>
        <v>7200</v>
      </c>
      <c r="X200" s="222">
        <f>IFERROR(IF(INDEX(Assumptions!$G$177:$G$197,MATCH('Cash flow forecast'!$B200,Assumptions!$A$177:$A$197,0))="Salary",IF(AND('Cash flow forecast'!X$5&gt;=Assumptions!$E180,'Cash flow forecast'!X$5&lt;=Assumptions!$F180),Assumptions!$B180/12,0),IF(AND('Cash flow forecast'!X$5&gt;=Assumptions!$E180,'Cash flow forecast'!X$5&lt;=Assumptions!$F180),Assumptions!$C180*Assumptions!$D180,0)),"")</f>
        <v>7200</v>
      </c>
      <c r="Y200" s="222">
        <f>IFERROR(IF(INDEX(Assumptions!$G$177:$G$197,MATCH('Cash flow forecast'!$B200,Assumptions!$A$177:$A$197,0))="Salary",IF(AND('Cash flow forecast'!Y$5&gt;=Assumptions!$E180,'Cash flow forecast'!Y$5&lt;=Assumptions!$F180),Assumptions!$B180/12,0),IF(AND('Cash flow forecast'!Y$5&gt;=Assumptions!$E180,'Cash flow forecast'!Y$5&lt;=Assumptions!$F180),Assumptions!$C180*Assumptions!$D180,0)),"")</f>
        <v>7200</v>
      </c>
      <c r="Z200" s="223">
        <f>IFERROR(IF(INDEX(Assumptions!$G$177:$G$197,MATCH('Cash flow forecast'!$B200,Assumptions!$A$177:$A$197,0))="Salary",IF(AND('Cash flow forecast'!Z$5&gt;=Assumptions!$E180,'Cash flow forecast'!Z$5&lt;=Assumptions!$F180),Assumptions!$B180/12,0),IF(AND('Cash flow forecast'!Z$5&gt;=Assumptions!$E180,'Cash flow forecast'!Z$5&lt;=Assumptions!$F180),Assumptions!$C180*Assumptions!$D180,0)),"")</f>
        <v>7200</v>
      </c>
      <c r="AA200" s="221">
        <f t="shared" si="185"/>
        <v>21600</v>
      </c>
      <c r="AB200" s="224">
        <f t="shared" si="185"/>
        <v>21600</v>
      </c>
      <c r="AC200" s="224">
        <f t="shared" si="185"/>
        <v>21600</v>
      </c>
      <c r="AD200" s="223">
        <f t="shared" si="185"/>
        <v>21600</v>
      </c>
      <c r="AE200" s="225">
        <f t="shared" si="186"/>
        <v>86400</v>
      </c>
      <c r="AF200" s="221">
        <f t="shared" si="188"/>
        <v>21600</v>
      </c>
      <c r="AG200" s="224">
        <f t="shared" si="187"/>
        <v>21600</v>
      </c>
      <c r="AH200" s="224">
        <f t="shared" si="187"/>
        <v>21600</v>
      </c>
      <c r="AI200" s="223">
        <f t="shared" si="187"/>
        <v>21600</v>
      </c>
      <c r="AJ200" s="225">
        <f t="shared" si="189"/>
        <v>86400</v>
      </c>
      <c r="AK200" s="243">
        <f t="shared" si="182"/>
        <v>0.1690228640853893</v>
      </c>
    </row>
    <row r="201" spans="2:37" ht="22.15" hidden="1" customHeight="1" outlineLevel="1" x14ac:dyDescent="0.25">
      <c r="B201" s="91" t="str">
        <f>IF(Assumptions!$A181="","",Assumptions!$A181)</f>
        <v>Test 5</v>
      </c>
      <c r="C201" s="221">
        <f>IFERROR(IF(INDEX(Assumptions!$G$177:$G$197,MATCH('Cash flow forecast'!$B201,Assumptions!$A$177:$A$197,0))="Salary",IF(AND('Cash flow forecast'!C$5&gt;=Assumptions!$E181,'Cash flow forecast'!C$5&lt;=Assumptions!$F181),Assumptions!$B181/12,0),IF(AND('Cash flow forecast'!C$5&gt;=Assumptions!$E181,'Cash flow forecast'!C$5&lt;=Assumptions!$F181),Assumptions!$C181*Assumptions!$D181,0)),"")</f>
        <v>0</v>
      </c>
      <c r="D201" s="222">
        <f>IFERROR(IF(INDEX(Assumptions!$G$177:$G$197,MATCH('Cash flow forecast'!$B201,Assumptions!$A$177:$A$197,0))="Salary",IF(AND('Cash flow forecast'!D$5&gt;=Assumptions!$E181,'Cash flow forecast'!D$5&lt;=Assumptions!$F181),Assumptions!$B181/12,0),IF(AND('Cash flow forecast'!D$5&gt;=Assumptions!$E181,'Cash flow forecast'!D$5&lt;=Assumptions!$F181),Assumptions!$C181*Assumptions!$D181,0)),"")</f>
        <v>0</v>
      </c>
      <c r="E201" s="222">
        <f>IFERROR(IF(INDEX(Assumptions!$G$177:$G$197,MATCH('Cash flow forecast'!$B201,Assumptions!$A$177:$A$197,0))="Salary",IF(AND('Cash flow forecast'!E$5&gt;=Assumptions!$E181,'Cash flow forecast'!E$5&lt;=Assumptions!$F181),Assumptions!$B181/12,0),IF(AND('Cash flow forecast'!E$5&gt;=Assumptions!$E181,'Cash flow forecast'!E$5&lt;=Assumptions!$F181),Assumptions!$C181*Assumptions!$D181,0)),"")</f>
        <v>0</v>
      </c>
      <c r="F201" s="222">
        <f>IFERROR(IF(INDEX(Assumptions!$G$177:$G$197,MATCH('Cash flow forecast'!$B201,Assumptions!$A$177:$A$197,0))="Salary",IF(AND('Cash flow forecast'!F$5&gt;=Assumptions!$E181,'Cash flow forecast'!F$5&lt;=Assumptions!$F181),Assumptions!$B181/12,0),IF(AND('Cash flow forecast'!F$5&gt;=Assumptions!$E181,'Cash flow forecast'!F$5&lt;=Assumptions!$F181),Assumptions!$C181*Assumptions!$D181,0)),"")</f>
        <v>0</v>
      </c>
      <c r="G201" s="222">
        <f>IFERROR(IF(INDEX(Assumptions!$G$177:$G$197,MATCH('Cash flow forecast'!$B201,Assumptions!$A$177:$A$197,0))="Salary",IF(AND('Cash flow forecast'!G$5&gt;=Assumptions!$E181,'Cash flow forecast'!G$5&lt;=Assumptions!$F181),Assumptions!$B181/12,0),IF(AND('Cash flow forecast'!G$5&gt;=Assumptions!$E181,'Cash flow forecast'!G$5&lt;=Assumptions!$F181),Assumptions!$C181*Assumptions!$D181,0)),"")</f>
        <v>0</v>
      </c>
      <c r="H201" s="222">
        <f>IFERROR(IF(INDEX(Assumptions!$G$177:$G$197,MATCH('Cash flow forecast'!$B201,Assumptions!$A$177:$A$197,0))="Salary",IF(AND('Cash flow forecast'!H$5&gt;=Assumptions!$E181,'Cash flow forecast'!H$5&lt;=Assumptions!$F181),Assumptions!$B181/12,0),IF(AND('Cash flow forecast'!H$5&gt;=Assumptions!$E181,'Cash flow forecast'!H$5&lt;=Assumptions!$F181),Assumptions!$C181*Assumptions!$D181,0)),"")</f>
        <v>8333.3333333333339</v>
      </c>
      <c r="I201" s="222">
        <f>IFERROR(IF(INDEX(Assumptions!$G$177:$G$197,MATCH('Cash flow forecast'!$B201,Assumptions!$A$177:$A$197,0))="Salary",IF(AND('Cash flow forecast'!I$5&gt;=Assumptions!$E181,'Cash flow forecast'!I$5&lt;=Assumptions!$F181),Assumptions!$B181/12,0),IF(AND('Cash flow forecast'!I$5&gt;=Assumptions!$E181,'Cash flow forecast'!I$5&lt;=Assumptions!$F181),Assumptions!$C181*Assumptions!$D181,0)),"")</f>
        <v>8333.3333333333339</v>
      </c>
      <c r="J201" s="222">
        <f>IFERROR(IF(INDEX(Assumptions!$G$177:$G$197,MATCH('Cash flow forecast'!$B201,Assumptions!$A$177:$A$197,0))="Salary",IF(AND('Cash flow forecast'!J$5&gt;=Assumptions!$E181,'Cash flow forecast'!J$5&lt;=Assumptions!$F181),Assumptions!$B181/12,0),IF(AND('Cash flow forecast'!J$5&gt;=Assumptions!$E181,'Cash flow forecast'!J$5&lt;=Assumptions!$F181),Assumptions!$C181*Assumptions!$D181,0)),"")</f>
        <v>8333.3333333333339</v>
      </c>
      <c r="K201" s="222">
        <f>IFERROR(IF(INDEX(Assumptions!$G$177:$G$197,MATCH('Cash flow forecast'!$B201,Assumptions!$A$177:$A$197,0))="Salary",IF(AND('Cash flow forecast'!K$5&gt;=Assumptions!$E181,'Cash flow forecast'!K$5&lt;=Assumptions!$F181),Assumptions!$B181/12,0),IF(AND('Cash flow forecast'!K$5&gt;=Assumptions!$E181,'Cash flow forecast'!K$5&lt;=Assumptions!$F181),Assumptions!$C181*Assumptions!$D181,0)),"")</f>
        <v>8333.3333333333339</v>
      </c>
      <c r="L201" s="222">
        <f>IFERROR(IF(INDEX(Assumptions!$G$177:$G$197,MATCH('Cash flow forecast'!$B201,Assumptions!$A$177:$A$197,0))="Salary",IF(AND('Cash flow forecast'!L$5&gt;=Assumptions!$E181,'Cash flow forecast'!L$5&lt;=Assumptions!$F181),Assumptions!$B181/12,0),IF(AND('Cash flow forecast'!L$5&gt;=Assumptions!$E181,'Cash flow forecast'!L$5&lt;=Assumptions!$F181),Assumptions!$C181*Assumptions!$D181,0)),"")</f>
        <v>8333.3333333333339</v>
      </c>
      <c r="M201" s="222">
        <f>IFERROR(IF(INDEX(Assumptions!$G$177:$G$197,MATCH('Cash flow forecast'!$B201,Assumptions!$A$177:$A$197,0))="Salary",IF(AND('Cash flow forecast'!M$5&gt;=Assumptions!$E181,'Cash flow forecast'!M$5&lt;=Assumptions!$F181),Assumptions!$B181/12,0),IF(AND('Cash flow forecast'!M$5&gt;=Assumptions!$E181,'Cash flow forecast'!M$5&lt;=Assumptions!$F181),Assumptions!$C181*Assumptions!$D181,0)),"")</f>
        <v>8333.3333333333339</v>
      </c>
      <c r="N201" s="223">
        <f>IFERROR(IF(INDEX(Assumptions!$G$177:$G$197,MATCH('Cash flow forecast'!$B201,Assumptions!$A$177:$A$197,0))="Salary",IF(AND('Cash flow forecast'!N$5&gt;=Assumptions!$E181,'Cash flow forecast'!N$5&lt;=Assumptions!$F181),Assumptions!$B181/12,0),IF(AND('Cash flow forecast'!N$5&gt;=Assumptions!$E181,'Cash flow forecast'!N$5&lt;=Assumptions!$F181),Assumptions!$C181*Assumptions!$D181,0)),"")</f>
        <v>8333.3333333333339</v>
      </c>
      <c r="O201" s="221">
        <f>IFERROR(IF(INDEX(Assumptions!$G$177:$G$197,MATCH('Cash flow forecast'!$B201,Assumptions!$A$177:$A$197,0))="Salary",IF(AND('Cash flow forecast'!O$5&gt;=Assumptions!$E181,'Cash flow forecast'!O$5&lt;=Assumptions!$F181),Assumptions!$B181/12,0),IF(AND('Cash flow forecast'!O$5&gt;=Assumptions!$E181,'Cash flow forecast'!O$5&lt;=Assumptions!$F181),Assumptions!$C181*Assumptions!$D181,0)),"")</f>
        <v>8333.3333333333339</v>
      </c>
      <c r="P201" s="222">
        <f>IFERROR(IF(INDEX(Assumptions!$G$177:$G$197,MATCH('Cash flow forecast'!$B201,Assumptions!$A$177:$A$197,0))="Salary",IF(AND('Cash flow forecast'!P$5&gt;=Assumptions!$E181,'Cash flow forecast'!P$5&lt;=Assumptions!$F181),Assumptions!$B181/12,0),IF(AND('Cash flow forecast'!P$5&gt;=Assumptions!$E181,'Cash flow forecast'!P$5&lt;=Assumptions!$F181),Assumptions!$C181*Assumptions!$D181,0)),"")</f>
        <v>8333.3333333333339</v>
      </c>
      <c r="Q201" s="222">
        <f>IFERROR(IF(INDEX(Assumptions!$G$177:$G$197,MATCH('Cash flow forecast'!$B201,Assumptions!$A$177:$A$197,0))="Salary",IF(AND('Cash flow forecast'!Q$5&gt;=Assumptions!$E181,'Cash flow forecast'!Q$5&lt;=Assumptions!$F181),Assumptions!$B181/12,0),IF(AND('Cash flow forecast'!Q$5&gt;=Assumptions!$E181,'Cash flow forecast'!Q$5&lt;=Assumptions!$F181),Assumptions!$C181*Assumptions!$D181,0)),"")</f>
        <v>8333.3333333333339</v>
      </c>
      <c r="R201" s="222">
        <f>IFERROR(IF(INDEX(Assumptions!$G$177:$G$197,MATCH('Cash flow forecast'!$B201,Assumptions!$A$177:$A$197,0))="Salary",IF(AND('Cash flow forecast'!R$5&gt;=Assumptions!$E181,'Cash flow forecast'!R$5&lt;=Assumptions!$F181),Assumptions!$B181/12,0),IF(AND('Cash flow forecast'!R$5&gt;=Assumptions!$E181,'Cash flow forecast'!R$5&lt;=Assumptions!$F181),Assumptions!$C181*Assumptions!$D181,0)),"")</f>
        <v>8333.3333333333339</v>
      </c>
      <c r="S201" s="222">
        <f>IFERROR(IF(INDEX(Assumptions!$G$177:$G$197,MATCH('Cash flow forecast'!$B201,Assumptions!$A$177:$A$197,0))="Salary",IF(AND('Cash flow forecast'!S$5&gt;=Assumptions!$E181,'Cash flow forecast'!S$5&lt;=Assumptions!$F181),Assumptions!$B181/12,0),IF(AND('Cash flow forecast'!S$5&gt;=Assumptions!$E181,'Cash flow forecast'!S$5&lt;=Assumptions!$F181),Assumptions!$C181*Assumptions!$D181,0)),"")</f>
        <v>8333.3333333333339</v>
      </c>
      <c r="T201" s="222">
        <f>IFERROR(IF(INDEX(Assumptions!$G$177:$G$197,MATCH('Cash flow forecast'!$B201,Assumptions!$A$177:$A$197,0))="Salary",IF(AND('Cash flow forecast'!T$5&gt;=Assumptions!$E181,'Cash flow forecast'!T$5&lt;=Assumptions!$F181),Assumptions!$B181/12,0),IF(AND('Cash flow forecast'!T$5&gt;=Assumptions!$E181,'Cash flow forecast'!T$5&lt;=Assumptions!$F181),Assumptions!$C181*Assumptions!$D181,0)),"")</f>
        <v>8333.3333333333339</v>
      </c>
      <c r="U201" s="222">
        <f>IFERROR(IF(INDEX(Assumptions!$G$177:$G$197,MATCH('Cash flow forecast'!$B201,Assumptions!$A$177:$A$197,0))="Salary",IF(AND('Cash flow forecast'!U$5&gt;=Assumptions!$E181,'Cash flow forecast'!U$5&lt;=Assumptions!$F181),Assumptions!$B181/12,0),IF(AND('Cash flow forecast'!U$5&gt;=Assumptions!$E181,'Cash flow forecast'!U$5&lt;=Assumptions!$F181),Assumptions!$C181*Assumptions!$D181,0)),"")</f>
        <v>8333.3333333333339</v>
      </c>
      <c r="V201" s="222">
        <f>IFERROR(IF(INDEX(Assumptions!$G$177:$G$197,MATCH('Cash flow forecast'!$B201,Assumptions!$A$177:$A$197,0))="Salary",IF(AND('Cash flow forecast'!V$5&gt;=Assumptions!$E181,'Cash flow forecast'!V$5&lt;=Assumptions!$F181),Assumptions!$B181/12,0),IF(AND('Cash flow forecast'!V$5&gt;=Assumptions!$E181,'Cash flow forecast'!V$5&lt;=Assumptions!$F181),Assumptions!$C181*Assumptions!$D181,0)),"")</f>
        <v>8333.3333333333339</v>
      </c>
      <c r="W201" s="222">
        <f>IFERROR(IF(INDEX(Assumptions!$G$177:$G$197,MATCH('Cash flow forecast'!$B201,Assumptions!$A$177:$A$197,0))="Salary",IF(AND('Cash flow forecast'!W$5&gt;=Assumptions!$E181,'Cash flow forecast'!W$5&lt;=Assumptions!$F181),Assumptions!$B181/12,0),IF(AND('Cash flow forecast'!W$5&gt;=Assumptions!$E181,'Cash flow forecast'!W$5&lt;=Assumptions!$F181),Assumptions!$C181*Assumptions!$D181,0)),"")</f>
        <v>8333.3333333333339</v>
      </c>
      <c r="X201" s="222">
        <f>IFERROR(IF(INDEX(Assumptions!$G$177:$G$197,MATCH('Cash flow forecast'!$B201,Assumptions!$A$177:$A$197,0))="Salary",IF(AND('Cash flow forecast'!X$5&gt;=Assumptions!$E181,'Cash flow forecast'!X$5&lt;=Assumptions!$F181),Assumptions!$B181/12,0),IF(AND('Cash flow forecast'!X$5&gt;=Assumptions!$E181,'Cash flow forecast'!X$5&lt;=Assumptions!$F181),Assumptions!$C181*Assumptions!$D181,0)),"")</f>
        <v>8333.3333333333339</v>
      </c>
      <c r="Y201" s="222">
        <f>IFERROR(IF(INDEX(Assumptions!$G$177:$G$197,MATCH('Cash flow forecast'!$B201,Assumptions!$A$177:$A$197,0))="Salary",IF(AND('Cash flow forecast'!Y$5&gt;=Assumptions!$E181,'Cash flow forecast'!Y$5&lt;=Assumptions!$F181),Assumptions!$B181/12,0),IF(AND('Cash flow forecast'!Y$5&gt;=Assumptions!$E181,'Cash flow forecast'!Y$5&lt;=Assumptions!$F181),Assumptions!$C181*Assumptions!$D181,0)),"")</f>
        <v>8333.3333333333339</v>
      </c>
      <c r="Z201" s="223">
        <f>IFERROR(IF(INDEX(Assumptions!$G$177:$G$197,MATCH('Cash flow forecast'!$B201,Assumptions!$A$177:$A$197,0))="Salary",IF(AND('Cash flow forecast'!Z$5&gt;=Assumptions!$E181,'Cash flow forecast'!Z$5&lt;=Assumptions!$F181),Assumptions!$B181/12,0),IF(AND('Cash flow forecast'!Z$5&gt;=Assumptions!$E181,'Cash flow forecast'!Z$5&lt;=Assumptions!$F181),Assumptions!$C181*Assumptions!$D181,0)),"")</f>
        <v>8333.3333333333339</v>
      </c>
      <c r="AA201" s="221">
        <f t="shared" si="185"/>
        <v>16666.666666666668</v>
      </c>
      <c r="AB201" s="224">
        <f t="shared" si="185"/>
        <v>0</v>
      </c>
      <c r="AC201" s="224">
        <f t="shared" si="185"/>
        <v>16666.666666666668</v>
      </c>
      <c r="AD201" s="223">
        <f t="shared" si="185"/>
        <v>25000</v>
      </c>
      <c r="AE201" s="225">
        <f t="shared" si="186"/>
        <v>58333.333333333343</v>
      </c>
      <c r="AF201" s="221">
        <f t="shared" si="188"/>
        <v>25000</v>
      </c>
      <c r="AG201" s="224">
        <f t="shared" si="187"/>
        <v>25000</v>
      </c>
      <c r="AH201" s="224">
        <f t="shared" si="187"/>
        <v>25000</v>
      </c>
      <c r="AI201" s="223">
        <f t="shared" si="187"/>
        <v>25000</v>
      </c>
      <c r="AJ201" s="225">
        <f t="shared" si="189"/>
        <v>99999.999999999985</v>
      </c>
      <c r="AK201" s="243">
        <f t="shared" si="182"/>
        <v>0.15487241597330231</v>
      </c>
    </row>
    <row r="202" spans="2:37" ht="22.15" hidden="1" customHeight="1" outlineLevel="1" x14ac:dyDescent="0.25">
      <c r="B202" s="91" t="str">
        <f>IF(Assumptions!$A182="","",Assumptions!$A182)</f>
        <v>Test 6</v>
      </c>
      <c r="C202" s="221">
        <f>IFERROR(IF(INDEX(Assumptions!$G$177:$G$197,MATCH('Cash flow forecast'!$B202,Assumptions!$A$177:$A$197,0))="Salary",IF(AND('Cash flow forecast'!C$5&gt;=Assumptions!$E182,'Cash flow forecast'!C$5&lt;=Assumptions!$F182),Assumptions!$B182/12,0),IF(AND('Cash flow forecast'!C$5&gt;=Assumptions!$E182,'Cash flow forecast'!C$5&lt;=Assumptions!$F182),Assumptions!$C182*Assumptions!$D182,0)),"")</f>
        <v>0</v>
      </c>
      <c r="D202" s="222">
        <f>IFERROR(IF(INDEX(Assumptions!$G$177:$G$197,MATCH('Cash flow forecast'!$B202,Assumptions!$A$177:$A$197,0))="Salary",IF(AND('Cash flow forecast'!D$5&gt;=Assumptions!$E182,'Cash flow forecast'!D$5&lt;=Assumptions!$F182),Assumptions!$B182/12,0),IF(AND('Cash flow forecast'!D$5&gt;=Assumptions!$E182,'Cash flow forecast'!D$5&lt;=Assumptions!$F182),Assumptions!$C182*Assumptions!$D182,0)),"")</f>
        <v>0</v>
      </c>
      <c r="E202" s="222">
        <f>IFERROR(IF(INDEX(Assumptions!$G$177:$G$197,MATCH('Cash flow forecast'!$B202,Assumptions!$A$177:$A$197,0))="Salary",IF(AND('Cash flow forecast'!E$5&gt;=Assumptions!$E182,'Cash flow forecast'!E$5&lt;=Assumptions!$F182),Assumptions!$B182/12,0),IF(AND('Cash flow forecast'!E$5&gt;=Assumptions!$E182,'Cash flow forecast'!E$5&lt;=Assumptions!$F182),Assumptions!$C182*Assumptions!$D182,0)),"")</f>
        <v>0</v>
      </c>
      <c r="F202" s="222">
        <f>IFERROR(IF(INDEX(Assumptions!$G$177:$G$197,MATCH('Cash flow forecast'!$B202,Assumptions!$A$177:$A$197,0))="Salary",IF(AND('Cash flow forecast'!F$5&gt;=Assumptions!$E182,'Cash flow forecast'!F$5&lt;=Assumptions!$F182),Assumptions!$B182/12,0),IF(AND('Cash flow forecast'!F$5&gt;=Assumptions!$E182,'Cash flow forecast'!F$5&lt;=Assumptions!$F182),Assumptions!$C182*Assumptions!$D182,0)),"")</f>
        <v>0</v>
      </c>
      <c r="G202" s="222">
        <f>IFERROR(IF(INDEX(Assumptions!$G$177:$G$197,MATCH('Cash flow forecast'!$B202,Assumptions!$A$177:$A$197,0))="Salary",IF(AND('Cash flow forecast'!G$5&gt;=Assumptions!$E182,'Cash flow forecast'!G$5&lt;=Assumptions!$F182),Assumptions!$B182/12,0),IF(AND('Cash flow forecast'!G$5&gt;=Assumptions!$E182,'Cash flow forecast'!G$5&lt;=Assumptions!$F182),Assumptions!$C182*Assumptions!$D182,0)),"")</f>
        <v>0</v>
      </c>
      <c r="H202" s="222">
        <f>IFERROR(IF(INDEX(Assumptions!$G$177:$G$197,MATCH('Cash flow forecast'!$B202,Assumptions!$A$177:$A$197,0))="Salary",IF(AND('Cash flow forecast'!H$5&gt;=Assumptions!$E182,'Cash flow forecast'!H$5&lt;=Assumptions!$F182),Assumptions!$B182/12,0),IF(AND('Cash flow forecast'!H$5&gt;=Assumptions!$E182,'Cash flow forecast'!H$5&lt;=Assumptions!$F182),Assumptions!$C182*Assumptions!$D182,0)),"")</f>
        <v>0</v>
      </c>
      <c r="I202" s="222">
        <f>IFERROR(IF(INDEX(Assumptions!$G$177:$G$197,MATCH('Cash flow forecast'!$B202,Assumptions!$A$177:$A$197,0))="Salary",IF(AND('Cash flow forecast'!I$5&gt;=Assumptions!$E182,'Cash flow forecast'!I$5&lt;=Assumptions!$F182),Assumptions!$B182/12,0),IF(AND('Cash flow forecast'!I$5&gt;=Assumptions!$E182,'Cash flow forecast'!I$5&lt;=Assumptions!$F182),Assumptions!$C182*Assumptions!$D182,0)),"")</f>
        <v>4166.666666666667</v>
      </c>
      <c r="J202" s="222">
        <f>IFERROR(IF(INDEX(Assumptions!$G$177:$G$197,MATCH('Cash flow forecast'!$B202,Assumptions!$A$177:$A$197,0))="Salary",IF(AND('Cash flow forecast'!J$5&gt;=Assumptions!$E182,'Cash flow forecast'!J$5&lt;=Assumptions!$F182),Assumptions!$B182/12,0),IF(AND('Cash flow forecast'!J$5&gt;=Assumptions!$E182,'Cash flow forecast'!J$5&lt;=Assumptions!$F182),Assumptions!$C182*Assumptions!$D182,0)),"")</f>
        <v>4166.666666666667</v>
      </c>
      <c r="K202" s="222">
        <f>IFERROR(IF(INDEX(Assumptions!$G$177:$G$197,MATCH('Cash flow forecast'!$B202,Assumptions!$A$177:$A$197,0))="Salary",IF(AND('Cash flow forecast'!K$5&gt;=Assumptions!$E182,'Cash flow forecast'!K$5&lt;=Assumptions!$F182),Assumptions!$B182/12,0),IF(AND('Cash flow forecast'!K$5&gt;=Assumptions!$E182,'Cash flow forecast'!K$5&lt;=Assumptions!$F182),Assumptions!$C182*Assumptions!$D182,0)),"")</f>
        <v>4166.666666666667</v>
      </c>
      <c r="L202" s="222">
        <f>IFERROR(IF(INDEX(Assumptions!$G$177:$G$197,MATCH('Cash flow forecast'!$B202,Assumptions!$A$177:$A$197,0))="Salary",IF(AND('Cash flow forecast'!L$5&gt;=Assumptions!$E182,'Cash flow forecast'!L$5&lt;=Assumptions!$F182),Assumptions!$B182/12,0),IF(AND('Cash flow forecast'!L$5&gt;=Assumptions!$E182,'Cash flow forecast'!L$5&lt;=Assumptions!$F182),Assumptions!$C182*Assumptions!$D182,0)),"")</f>
        <v>4166.666666666667</v>
      </c>
      <c r="M202" s="222">
        <f>IFERROR(IF(INDEX(Assumptions!$G$177:$G$197,MATCH('Cash flow forecast'!$B202,Assumptions!$A$177:$A$197,0))="Salary",IF(AND('Cash flow forecast'!M$5&gt;=Assumptions!$E182,'Cash flow forecast'!M$5&lt;=Assumptions!$F182),Assumptions!$B182/12,0),IF(AND('Cash flow forecast'!M$5&gt;=Assumptions!$E182,'Cash flow forecast'!M$5&lt;=Assumptions!$F182),Assumptions!$C182*Assumptions!$D182,0)),"")</f>
        <v>4166.666666666667</v>
      </c>
      <c r="N202" s="223">
        <f>IFERROR(IF(INDEX(Assumptions!$G$177:$G$197,MATCH('Cash flow forecast'!$B202,Assumptions!$A$177:$A$197,0))="Salary",IF(AND('Cash flow forecast'!N$5&gt;=Assumptions!$E182,'Cash flow forecast'!N$5&lt;=Assumptions!$F182),Assumptions!$B182/12,0),IF(AND('Cash flow forecast'!N$5&gt;=Assumptions!$E182,'Cash flow forecast'!N$5&lt;=Assumptions!$F182),Assumptions!$C182*Assumptions!$D182,0)),"")</f>
        <v>4166.666666666667</v>
      </c>
      <c r="O202" s="221">
        <f>IFERROR(IF(INDEX(Assumptions!$G$177:$G$197,MATCH('Cash flow forecast'!$B202,Assumptions!$A$177:$A$197,0))="Salary",IF(AND('Cash flow forecast'!O$5&gt;=Assumptions!$E182,'Cash flow forecast'!O$5&lt;=Assumptions!$F182),Assumptions!$B182/12,0),IF(AND('Cash flow forecast'!O$5&gt;=Assumptions!$E182,'Cash flow forecast'!O$5&lt;=Assumptions!$F182),Assumptions!$C182*Assumptions!$D182,0)),"")</f>
        <v>4166.666666666667</v>
      </c>
      <c r="P202" s="222">
        <f>IFERROR(IF(INDEX(Assumptions!$G$177:$G$197,MATCH('Cash flow forecast'!$B202,Assumptions!$A$177:$A$197,0))="Salary",IF(AND('Cash flow forecast'!P$5&gt;=Assumptions!$E182,'Cash flow forecast'!P$5&lt;=Assumptions!$F182),Assumptions!$B182/12,0),IF(AND('Cash flow forecast'!P$5&gt;=Assumptions!$E182,'Cash flow forecast'!P$5&lt;=Assumptions!$F182),Assumptions!$C182*Assumptions!$D182,0)),"")</f>
        <v>4166.666666666667</v>
      </c>
      <c r="Q202" s="222">
        <f>IFERROR(IF(INDEX(Assumptions!$G$177:$G$197,MATCH('Cash flow forecast'!$B202,Assumptions!$A$177:$A$197,0))="Salary",IF(AND('Cash flow forecast'!Q$5&gt;=Assumptions!$E182,'Cash flow forecast'!Q$5&lt;=Assumptions!$F182),Assumptions!$B182/12,0),IF(AND('Cash flow forecast'!Q$5&gt;=Assumptions!$E182,'Cash flow forecast'!Q$5&lt;=Assumptions!$F182),Assumptions!$C182*Assumptions!$D182,0)),"")</f>
        <v>4166.666666666667</v>
      </c>
      <c r="R202" s="222">
        <f>IFERROR(IF(INDEX(Assumptions!$G$177:$G$197,MATCH('Cash flow forecast'!$B202,Assumptions!$A$177:$A$197,0))="Salary",IF(AND('Cash flow forecast'!R$5&gt;=Assumptions!$E182,'Cash flow forecast'!R$5&lt;=Assumptions!$F182),Assumptions!$B182/12,0),IF(AND('Cash flow forecast'!R$5&gt;=Assumptions!$E182,'Cash flow forecast'!R$5&lt;=Assumptions!$F182),Assumptions!$C182*Assumptions!$D182,0)),"")</f>
        <v>4166.666666666667</v>
      </c>
      <c r="S202" s="222">
        <f>IFERROR(IF(INDEX(Assumptions!$G$177:$G$197,MATCH('Cash flow forecast'!$B202,Assumptions!$A$177:$A$197,0))="Salary",IF(AND('Cash flow forecast'!S$5&gt;=Assumptions!$E182,'Cash flow forecast'!S$5&lt;=Assumptions!$F182),Assumptions!$B182/12,0),IF(AND('Cash flow forecast'!S$5&gt;=Assumptions!$E182,'Cash flow forecast'!S$5&lt;=Assumptions!$F182),Assumptions!$C182*Assumptions!$D182,0)),"")</f>
        <v>4166.666666666667</v>
      </c>
      <c r="T202" s="222">
        <f>IFERROR(IF(INDEX(Assumptions!$G$177:$G$197,MATCH('Cash flow forecast'!$B202,Assumptions!$A$177:$A$197,0))="Salary",IF(AND('Cash flow forecast'!T$5&gt;=Assumptions!$E182,'Cash flow forecast'!T$5&lt;=Assumptions!$F182),Assumptions!$B182/12,0),IF(AND('Cash flow forecast'!T$5&gt;=Assumptions!$E182,'Cash flow forecast'!T$5&lt;=Assumptions!$F182),Assumptions!$C182*Assumptions!$D182,0)),"")</f>
        <v>4166.666666666667</v>
      </c>
      <c r="U202" s="222">
        <f>IFERROR(IF(INDEX(Assumptions!$G$177:$G$197,MATCH('Cash flow forecast'!$B202,Assumptions!$A$177:$A$197,0))="Salary",IF(AND('Cash flow forecast'!U$5&gt;=Assumptions!$E182,'Cash flow forecast'!U$5&lt;=Assumptions!$F182),Assumptions!$B182/12,0),IF(AND('Cash flow forecast'!U$5&gt;=Assumptions!$E182,'Cash flow forecast'!U$5&lt;=Assumptions!$F182),Assumptions!$C182*Assumptions!$D182,0)),"")</f>
        <v>4166.666666666667</v>
      </c>
      <c r="V202" s="222">
        <f>IFERROR(IF(INDEX(Assumptions!$G$177:$G$197,MATCH('Cash flow forecast'!$B202,Assumptions!$A$177:$A$197,0))="Salary",IF(AND('Cash flow forecast'!V$5&gt;=Assumptions!$E182,'Cash flow forecast'!V$5&lt;=Assumptions!$F182),Assumptions!$B182/12,0),IF(AND('Cash flow forecast'!V$5&gt;=Assumptions!$E182,'Cash flow forecast'!V$5&lt;=Assumptions!$F182),Assumptions!$C182*Assumptions!$D182,0)),"")</f>
        <v>4166.666666666667</v>
      </c>
      <c r="W202" s="222">
        <f>IFERROR(IF(INDEX(Assumptions!$G$177:$G$197,MATCH('Cash flow forecast'!$B202,Assumptions!$A$177:$A$197,0))="Salary",IF(AND('Cash flow forecast'!W$5&gt;=Assumptions!$E182,'Cash flow forecast'!W$5&lt;=Assumptions!$F182),Assumptions!$B182/12,0),IF(AND('Cash flow forecast'!W$5&gt;=Assumptions!$E182,'Cash flow forecast'!W$5&lt;=Assumptions!$F182),Assumptions!$C182*Assumptions!$D182,0)),"")</f>
        <v>4166.666666666667</v>
      </c>
      <c r="X202" s="222">
        <f>IFERROR(IF(INDEX(Assumptions!$G$177:$G$197,MATCH('Cash flow forecast'!$B202,Assumptions!$A$177:$A$197,0))="Salary",IF(AND('Cash flow forecast'!X$5&gt;=Assumptions!$E182,'Cash flow forecast'!X$5&lt;=Assumptions!$F182),Assumptions!$B182/12,0),IF(AND('Cash flow forecast'!X$5&gt;=Assumptions!$E182,'Cash flow forecast'!X$5&lt;=Assumptions!$F182),Assumptions!$C182*Assumptions!$D182,0)),"")</f>
        <v>4166.666666666667</v>
      </c>
      <c r="Y202" s="222">
        <f>IFERROR(IF(INDEX(Assumptions!$G$177:$G$197,MATCH('Cash flow forecast'!$B202,Assumptions!$A$177:$A$197,0))="Salary",IF(AND('Cash flow forecast'!Y$5&gt;=Assumptions!$E182,'Cash flow forecast'!Y$5&lt;=Assumptions!$F182),Assumptions!$B182/12,0),IF(AND('Cash flow forecast'!Y$5&gt;=Assumptions!$E182,'Cash flow forecast'!Y$5&lt;=Assumptions!$F182),Assumptions!$C182*Assumptions!$D182,0)),"")</f>
        <v>4166.666666666667</v>
      </c>
      <c r="Z202" s="223">
        <f>IFERROR(IF(INDEX(Assumptions!$G$177:$G$197,MATCH('Cash flow forecast'!$B202,Assumptions!$A$177:$A$197,0))="Salary",IF(AND('Cash flow forecast'!Z$5&gt;=Assumptions!$E182,'Cash flow forecast'!Z$5&lt;=Assumptions!$F182),Assumptions!$B182/12,0),IF(AND('Cash flow forecast'!Z$5&gt;=Assumptions!$E182,'Cash flow forecast'!Z$5&lt;=Assumptions!$F182),Assumptions!$C182*Assumptions!$D182,0)),"")</f>
        <v>4166.666666666667</v>
      </c>
      <c r="AA202" s="221">
        <f t="shared" si="185"/>
        <v>8333.3333333333339</v>
      </c>
      <c r="AB202" s="224">
        <f t="shared" si="185"/>
        <v>0</v>
      </c>
      <c r="AC202" s="224">
        <f t="shared" si="185"/>
        <v>4166.666666666667</v>
      </c>
      <c r="AD202" s="223">
        <f t="shared" si="185"/>
        <v>12500</v>
      </c>
      <c r="AE202" s="225">
        <f t="shared" si="186"/>
        <v>25000.000000000004</v>
      </c>
      <c r="AF202" s="221">
        <f t="shared" si="188"/>
        <v>12500</v>
      </c>
      <c r="AG202" s="224">
        <f t="shared" si="187"/>
        <v>12500</v>
      </c>
      <c r="AH202" s="224">
        <f t="shared" si="187"/>
        <v>12500</v>
      </c>
      <c r="AI202" s="223">
        <f t="shared" si="187"/>
        <v>12500</v>
      </c>
      <c r="AJ202" s="225">
        <f t="shared" si="189"/>
        <v>49999.999999999993</v>
      </c>
      <c r="AK202" s="243">
        <f t="shared" si="182"/>
        <v>7.3360618092616889E-2</v>
      </c>
    </row>
    <row r="203" spans="2:37" ht="22.15" hidden="1" customHeight="1" outlineLevel="1" x14ac:dyDescent="0.25">
      <c r="B203" s="91" t="str">
        <f>IF(Assumptions!$A183="","",Assumptions!$A183)</f>
        <v>Test 7</v>
      </c>
      <c r="C203" s="221">
        <f>IFERROR(IF(INDEX(Assumptions!$G$177:$G$197,MATCH('Cash flow forecast'!$B203,Assumptions!$A$177:$A$197,0))="Salary",IF(AND('Cash flow forecast'!C$5&gt;=Assumptions!$E183,'Cash flow forecast'!C$5&lt;=Assumptions!$F183),Assumptions!$B183/12,0),IF(AND('Cash flow forecast'!C$5&gt;=Assumptions!$E183,'Cash flow forecast'!C$5&lt;=Assumptions!$F183),Assumptions!$C183*Assumptions!$D183,0)),"")</f>
        <v>0</v>
      </c>
      <c r="D203" s="222">
        <f>IFERROR(IF(INDEX(Assumptions!$G$177:$G$197,MATCH('Cash flow forecast'!$B203,Assumptions!$A$177:$A$197,0))="Salary",IF(AND('Cash flow forecast'!D$5&gt;=Assumptions!$E183,'Cash flow forecast'!D$5&lt;=Assumptions!$F183),Assumptions!$B183/12,0),IF(AND('Cash flow forecast'!D$5&gt;=Assumptions!$E183,'Cash flow forecast'!D$5&lt;=Assumptions!$F183),Assumptions!$C183*Assumptions!$D183,0)),"")</f>
        <v>0</v>
      </c>
      <c r="E203" s="222">
        <f>IFERROR(IF(INDEX(Assumptions!$G$177:$G$197,MATCH('Cash flow forecast'!$B203,Assumptions!$A$177:$A$197,0))="Salary",IF(AND('Cash flow forecast'!E$5&gt;=Assumptions!$E183,'Cash flow forecast'!E$5&lt;=Assumptions!$F183),Assumptions!$B183/12,0),IF(AND('Cash flow forecast'!E$5&gt;=Assumptions!$E183,'Cash flow forecast'!E$5&lt;=Assumptions!$F183),Assumptions!$C183*Assumptions!$D183,0)),"")</f>
        <v>0</v>
      </c>
      <c r="F203" s="222">
        <f>IFERROR(IF(INDEX(Assumptions!$G$177:$G$197,MATCH('Cash flow forecast'!$B203,Assumptions!$A$177:$A$197,0))="Salary",IF(AND('Cash flow forecast'!F$5&gt;=Assumptions!$E183,'Cash flow forecast'!F$5&lt;=Assumptions!$F183),Assumptions!$B183/12,0),IF(AND('Cash flow forecast'!F$5&gt;=Assumptions!$E183,'Cash flow forecast'!F$5&lt;=Assumptions!$F183),Assumptions!$C183*Assumptions!$D183,0)),"")</f>
        <v>0</v>
      </c>
      <c r="G203" s="222">
        <f>IFERROR(IF(INDEX(Assumptions!$G$177:$G$197,MATCH('Cash flow forecast'!$B203,Assumptions!$A$177:$A$197,0))="Salary",IF(AND('Cash flow forecast'!G$5&gt;=Assumptions!$E183,'Cash flow forecast'!G$5&lt;=Assumptions!$F183),Assumptions!$B183/12,0),IF(AND('Cash flow forecast'!G$5&gt;=Assumptions!$E183,'Cash flow forecast'!G$5&lt;=Assumptions!$F183),Assumptions!$C183*Assumptions!$D183,0)),"")</f>
        <v>0</v>
      </c>
      <c r="H203" s="222">
        <f>IFERROR(IF(INDEX(Assumptions!$G$177:$G$197,MATCH('Cash flow forecast'!$B203,Assumptions!$A$177:$A$197,0))="Salary",IF(AND('Cash flow forecast'!H$5&gt;=Assumptions!$E183,'Cash flow forecast'!H$5&lt;=Assumptions!$F183),Assumptions!$B183/12,0),IF(AND('Cash flow forecast'!H$5&gt;=Assumptions!$E183,'Cash flow forecast'!H$5&lt;=Assumptions!$F183),Assumptions!$C183*Assumptions!$D183,0)),"")</f>
        <v>0</v>
      </c>
      <c r="I203" s="222">
        <f>IFERROR(IF(INDEX(Assumptions!$G$177:$G$197,MATCH('Cash flow forecast'!$B203,Assumptions!$A$177:$A$197,0))="Salary",IF(AND('Cash flow forecast'!I$5&gt;=Assumptions!$E183,'Cash flow forecast'!I$5&lt;=Assumptions!$F183),Assumptions!$B183/12,0),IF(AND('Cash flow forecast'!I$5&gt;=Assumptions!$E183,'Cash flow forecast'!I$5&lt;=Assumptions!$F183),Assumptions!$C183*Assumptions!$D183,0)),"")</f>
        <v>0</v>
      </c>
      <c r="J203" s="222">
        <f>IFERROR(IF(INDEX(Assumptions!$G$177:$G$197,MATCH('Cash flow forecast'!$B203,Assumptions!$A$177:$A$197,0))="Salary",IF(AND('Cash flow forecast'!J$5&gt;=Assumptions!$E183,'Cash flow forecast'!J$5&lt;=Assumptions!$F183),Assumptions!$B183/12,0),IF(AND('Cash flow forecast'!J$5&gt;=Assumptions!$E183,'Cash flow forecast'!J$5&lt;=Assumptions!$F183),Assumptions!$C183*Assumptions!$D183,0)),"")</f>
        <v>4166.666666666667</v>
      </c>
      <c r="K203" s="222">
        <f>IFERROR(IF(INDEX(Assumptions!$G$177:$G$197,MATCH('Cash flow forecast'!$B203,Assumptions!$A$177:$A$197,0))="Salary",IF(AND('Cash flow forecast'!K$5&gt;=Assumptions!$E183,'Cash flow forecast'!K$5&lt;=Assumptions!$F183),Assumptions!$B183/12,0),IF(AND('Cash flow forecast'!K$5&gt;=Assumptions!$E183,'Cash flow forecast'!K$5&lt;=Assumptions!$F183),Assumptions!$C183*Assumptions!$D183,0)),"")</f>
        <v>4166.666666666667</v>
      </c>
      <c r="L203" s="222">
        <f>IFERROR(IF(INDEX(Assumptions!$G$177:$G$197,MATCH('Cash flow forecast'!$B203,Assumptions!$A$177:$A$197,0))="Salary",IF(AND('Cash flow forecast'!L$5&gt;=Assumptions!$E183,'Cash flow forecast'!L$5&lt;=Assumptions!$F183),Assumptions!$B183/12,0),IF(AND('Cash flow forecast'!L$5&gt;=Assumptions!$E183,'Cash flow forecast'!L$5&lt;=Assumptions!$F183),Assumptions!$C183*Assumptions!$D183,0)),"")</f>
        <v>4166.666666666667</v>
      </c>
      <c r="M203" s="222">
        <f>IFERROR(IF(INDEX(Assumptions!$G$177:$G$197,MATCH('Cash flow forecast'!$B203,Assumptions!$A$177:$A$197,0))="Salary",IF(AND('Cash flow forecast'!M$5&gt;=Assumptions!$E183,'Cash flow forecast'!M$5&lt;=Assumptions!$F183),Assumptions!$B183/12,0),IF(AND('Cash flow forecast'!M$5&gt;=Assumptions!$E183,'Cash flow forecast'!M$5&lt;=Assumptions!$F183),Assumptions!$C183*Assumptions!$D183,0)),"")</f>
        <v>4166.666666666667</v>
      </c>
      <c r="N203" s="223">
        <f>IFERROR(IF(INDEX(Assumptions!$G$177:$G$197,MATCH('Cash flow forecast'!$B203,Assumptions!$A$177:$A$197,0))="Salary",IF(AND('Cash flow forecast'!N$5&gt;=Assumptions!$E183,'Cash flow forecast'!N$5&lt;=Assumptions!$F183),Assumptions!$B183/12,0),IF(AND('Cash flow forecast'!N$5&gt;=Assumptions!$E183,'Cash flow forecast'!N$5&lt;=Assumptions!$F183),Assumptions!$C183*Assumptions!$D183,0)),"")</f>
        <v>4166.666666666667</v>
      </c>
      <c r="O203" s="221">
        <f>IFERROR(IF(INDEX(Assumptions!$G$177:$G$197,MATCH('Cash flow forecast'!$B203,Assumptions!$A$177:$A$197,0))="Salary",IF(AND('Cash flow forecast'!O$5&gt;=Assumptions!$E183,'Cash flow forecast'!O$5&lt;=Assumptions!$F183),Assumptions!$B183/12,0),IF(AND('Cash flow forecast'!O$5&gt;=Assumptions!$E183,'Cash flow forecast'!O$5&lt;=Assumptions!$F183),Assumptions!$C183*Assumptions!$D183,0)),"")</f>
        <v>4166.666666666667</v>
      </c>
      <c r="P203" s="222">
        <f>IFERROR(IF(INDEX(Assumptions!$G$177:$G$197,MATCH('Cash flow forecast'!$B203,Assumptions!$A$177:$A$197,0))="Salary",IF(AND('Cash flow forecast'!P$5&gt;=Assumptions!$E183,'Cash flow forecast'!P$5&lt;=Assumptions!$F183),Assumptions!$B183/12,0),IF(AND('Cash flow forecast'!P$5&gt;=Assumptions!$E183,'Cash flow forecast'!P$5&lt;=Assumptions!$F183),Assumptions!$C183*Assumptions!$D183,0)),"")</f>
        <v>4166.666666666667</v>
      </c>
      <c r="Q203" s="222">
        <f>IFERROR(IF(INDEX(Assumptions!$G$177:$G$197,MATCH('Cash flow forecast'!$B203,Assumptions!$A$177:$A$197,0))="Salary",IF(AND('Cash flow forecast'!Q$5&gt;=Assumptions!$E183,'Cash flow forecast'!Q$5&lt;=Assumptions!$F183),Assumptions!$B183/12,0),IF(AND('Cash flow forecast'!Q$5&gt;=Assumptions!$E183,'Cash flow forecast'!Q$5&lt;=Assumptions!$F183),Assumptions!$C183*Assumptions!$D183,0)),"")</f>
        <v>4166.666666666667</v>
      </c>
      <c r="R203" s="222">
        <f>IFERROR(IF(INDEX(Assumptions!$G$177:$G$197,MATCH('Cash flow forecast'!$B203,Assumptions!$A$177:$A$197,0))="Salary",IF(AND('Cash flow forecast'!R$5&gt;=Assumptions!$E183,'Cash flow forecast'!R$5&lt;=Assumptions!$F183),Assumptions!$B183/12,0),IF(AND('Cash flow forecast'!R$5&gt;=Assumptions!$E183,'Cash flow forecast'!R$5&lt;=Assumptions!$F183),Assumptions!$C183*Assumptions!$D183,0)),"")</f>
        <v>4166.666666666667</v>
      </c>
      <c r="S203" s="222">
        <f>IFERROR(IF(INDEX(Assumptions!$G$177:$G$197,MATCH('Cash flow forecast'!$B203,Assumptions!$A$177:$A$197,0))="Salary",IF(AND('Cash flow forecast'!S$5&gt;=Assumptions!$E183,'Cash flow forecast'!S$5&lt;=Assumptions!$F183),Assumptions!$B183/12,0),IF(AND('Cash flow forecast'!S$5&gt;=Assumptions!$E183,'Cash flow forecast'!S$5&lt;=Assumptions!$F183),Assumptions!$C183*Assumptions!$D183,0)),"")</f>
        <v>4166.666666666667</v>
      </c>
      <c r="T203" s="222">
        <f>IFERROR(IF(INDEX(Assumptions!$G$177:$G$197,MATCH('Cash flow forecast'!$B203,Assumptions!$A$177:$A$197,0))="Salary",IF(AND('Cash flow forecast'!T$5&gt;=Assumptions!$E183,'Cash flow forecast'!T$5&lt;=Assumptions!$F183),Assumptions!$B183/12,0),IF(AND('Cash flow forecast'!T$5&gt;=Assumptions!$E183,'Cash flow forecast'!T$5&lt;=Assumptions!$F183),Assumptions!$C183*Assumptions!$D183,0)),"")</f>
        <v>4166.666666666667</v>
      </c>
      <c r="U203" s="222">
        <f>IFERROR(IF(INDEX(Assumptions!$G$177:$G$197,MATCH('Cash flow forecast'!$B203,Assumptions!$A$177:$A$197,0))="Salary",IF(AND('Cash flow forecast'!U$5&gt;=Assumptions!$E183,'Cash flow forecast'!U$5&lt;=Assumptions!$F183),Assumptions!$B183/12,0),IF(AND('Cash flow forecast'!U$5&gt;=Assumptions!$E183,'Cash flow forecast'!U$5&lt;=Assumptions!$F183),Assumptions!$C183*Assumptions!$D183,0)),"")</f>
        <v>4166.666666666667</v>
      </c>
      <c r="V203" s="222">
        <f>IFERROR(IF(INDEX(Assumptions!$G$177:$G$197,MATCH('Cash flow forecast'!$B203,Assumptions!$A$177:$A$197,0))="Salary",IF(AND('Cash flow forecast'!V$5&gt;=Assumptions!$E183,'Cash flow forecast'!V$5&lt;=Assumptions!$F183),Assumptions!$B183/12,0),IF(AND('Cash flow forecast'!V$5&gt;=Assumptions!$E183,'Cash flow forecast'!V$5&lt;=Assumptions!$F183),Assumptions!$C183*Assumptions!$D183,0)),"")</f>
        <v>4166.666666666667</v>
      </c>
      <c r="W203" s="222">
        <f>IFERROR(IF(INDEX(Assumptions!$G$177:$G$197,MATCH('Cash flow forecast'!$B203,Assumptions!$A$177:$A$197,0))="Salary",IF(AND('Cash flow forecast'!W$5&gt;=Assumptions!$E183,'Cash flow forecast'!W$5&lt;=Assumptions!$F183),Assumptions!$B183/12,0),IF(AND('Cash flow forecast'!W$5&gt;=Assumptions!$E183,'Cash flow forecast'!W$5&lt;=Assumptions!$F183),Assumptions!$C183*Assumptions!$D183,0)),"")</f>
        <v>4166.666666666667</v>
      </c>
      <c r="X203" s="222">
        <f>IFERROR(IF(INDEX(Assumptions!$G$177:$G$197,MATCH('Cash flow forecast'!$B203,Assumptions!$A$177:$A$197,0))="Salary",IF(AND('Cash flow forecast'!X$5&gt;=Assumptions!$E183,'Cash flow forecast'!X$5&lt;=Assumptions!$F183),Assumptions!$B183/12,0),IF(AND('Cash flow forecast'!X$5&gt;=Assumptions!$E183,'Cash flow forecast'!X$5&lt;=Assumptions!$F183),Assumptions!$C183*Assumptions!$D183,0)),"")</f>
        <v>4166.666666666667</v>
      </c>
      <c r="Y203" s="222">
        <f>IFERROR(IF(INDEX(Assumptions!$G$177:$G$197,MATCH('Cash flow forecast'!$B203,Assumptions!$A$177:$A$197,0))="Salary",IF(AND('Cash flow forecast'!Y$5&gt;=Assumptions!$E183,'Cash flow forecast'!Y$5&lt;=Assumptions!$F183),Assumptions!$B183/12,0),IF(AND('Cash flow forecast'!Y$5&gt;=Assumptions!$E183,'Cash flow forecast'!Y$5&lt;=Assumptions!$F183),Assumptions!$C183*Assumptions!$D183,0)),"")</f>
        <v>4166.666666666667</v>
      </c>
      <c r="Z203" s="223">
        <f>IFERROR(IF(INDEX(Assumptions!$G$177:$G$197,MATCH('Cash flow forecast'!$B203,Assumptions!$A$177:$A$197,0))="Salary",IF(AND('Cash flow forecast'!Z$5&gt;=Assumptions!$E183,'Cash flow forecast'!Z$5&lt;=Assumptions!$F183),Assumptions!$B183/12,0),IF(AND('Cash flow forecast'!Z$5&gt;=Assumptions!$E183,'Cash flow forecast'!Z$5&lt;=Assumptions!$F183),Assumptions!$C183*Assumptions!$D183,0)),"")</f>
        <v>4166.666666666667</v>
      </c>
      <c r="AA203" s="221">
        <f t="shared" si="185"/>
        <v>8333.3333333333339</v>
      </c>
      <c r="AB203" s="224">
        <f t="shared" si="185"/>
        <v>0</v>
      </c>
      <c r="AC203" s="224">
        <f t="shared" si="185"/>
        <v>0</v>
      </c>
      <c r="AD203" s="223">
        <f t="shared" si="185"/>
        <v>12500</v>
      </c>
      <c r="AE203" s="225">
        <f t="shared" si="186"/>
        <v>20833.333333333336</v>
      </c>
      <c r="AF203" s="221">
        <f t="shared" si="188"/>
        <v>12500</v>
      </c>
      <c r="AG203" s="224">
        <f t="shared" si="187"/>
        <v>12500</v>
      </c>
      <c r="AH203" s="224">
        <f t="shared" si="187"/>
        <v>12500</v>
      </c>
      <c r="AI203" s="223">
        <f t="shared" si="187"/>
        <v>12500</v>
      </c>
      <c r="AJ203" s="225">
        <f t="shared" si="189"/>
        <v>49999.999999999993</v>
      </c>
      <c r="AK203" s="243">
        <f t="shared" si="182"/>
        <v>6.9285028198582607E-2</v>
      </c>
    </row>
    <row r="204" spans="2:37" ht="22.15" hidden="1" customHeight="1" outlineLevel="1" x14ac:dyDescent="0.25">
      <c r="B204" s="91" t="str">
        <f>IF(Assumptions!$A184="","",Assumptions!$A184)</f>
        <v>Test 8</v>
      </c>
      <c r="C204" s="221">
        <f>IFERROR(IF(INDEX(Assumptions!$G$177:$G$197,MATCH('Cash flow forecast'!$B204,Assumptions!$A$177:$A$197,0))="Salary",IF(AND('Cash flow forecast'!C$5&gt;=Assumptions!$E184,'Cash flow forecast'!C$5&lt;=Assumptions!$F184),Assumptions!$B184/12,0),IF(AND('Cash flow forecast'!C$5&gt;=Assumptions!$E184,'Cash flow forecast'!C$5&lt;=Assumptions!$F184),Assumptions!$C184*Assumptions!$D184,0)),"")</f>
        <v>0</v>
      </c>
      <c r="D204" s="222">
        <f>IFERROR(IF(INDEX(Assumptions!$G$177:$G$197,MATCH('Cash flow forecast'!$B204,Assumptions!$A$177:$A$197,0))="Salary",IF(AND('Cash flow forecast'!D$5&gt;=Assumptions!$E184,'Cash flow forecast'!D$5&lt;=Assumptions!$F184),Assumptions!$B184/12,0),IF(AND('Cash flow forecast'!D$5&gt;=Assumptions!$E184,'Cash flow forecast'!D$5&lt;=Assumptions!$F184),Assumptions!$C184*Assumptions!$D184,0)),"")</f>
        <v>0</v>
      </c>
      <c r="E204" s="222">
        <f>IFERROR(IF(INDEX(Assumptions!$G$177:$G$197,MATCH('Cash flow forecast'!$B204,Assumptions!$A$177:$A$197,0))="Salary",IF(AND('Cash flow forecast'!E$5&gt;=Assumptions!$E184,'Cash flow forecast'!E$5&lt;=Assumptions!$F184),Assumptions!$B184/12,0),IF(AND('Cash flow forecast'!E$5&gt;=Assumptions!$E184,'Cash flow forecast'!E$5&lt;=Assumptions!$F184),Assumptions!$C184*Assumptions!$D184,0)),"")</f>
        <v>0</v>
      </c>
      <c r="F204" s="222">
        <f>IFERROR(IF(INDEX(Assumptions!$G$177:$G$197,MATCH('Cash flow forecast'!$B204,Assumptions!$A$177:$A$197,0))="Salary",IF(AND('Cash flow forecast'!F$5&gt;=Assumptions!$E184,'Cash flow forecast'!F$5&lt;=Assumptions!$F184),Assumptions!$B184/12,0),IF(AND('Cash flow forecast'!F$5&gt;=Assumptions!$E184,'Cash flow forecast'!F$5&lt;=Assumptions!$F184),Assumptions!$C184*Assumptions!$D184,0)),"")</f>
        <v>0</v>
      </c>
      <c r="G204" s="222">
        <f>IFERROR(IF(INDEX(Assumptions!$G$177:$G$197,MATCH('Cash flow forecast'!$B204,Assumptions!$A$177:$A$197,0))="Salary",IF(AND('Cash flow forecast'!G$5&gt;=Assumptions!$E184,'Cash flow forecast'!G$5&lt;=Assumptions!$F184),Assumptions!$B184/12,0),IF(AND('Cash flow forecast'!G$5&gt;=Assumptions!$E184,'Cash flow forecast'!G$5&lt;=Assumptions!$F184),Assumptions!$C184*Assumptions!$D184,0)),"")</f>
        <v>0</v>
      </c>
      <c r="H204" s="222">
        <f>IFERROR(IF(INDEX(Assumptions!$G$177:$G$197,MATCH('Cash flow forecast'!$B204,Assumptions!$A$177:$A$197,0))="Salary",IF(AND('Cash flow forecast'!H$5&gt;=Assumptions!$E184,'Cash flow forecast'!H$5&lt;=Assumptions!$F184),Assumptions!$B184/12,0),IF(AND('Cash flow forecast'!H$5&gt;=Assumptions!$E184,'Cash flow forecast'!H$5&lt;=Assumptions!$F184),Assumptions!$C184*Assumptions!$D184,0)),"")</f>
        <v>0</v>
      </c>
      <c r="I204" s="222">
        <f>IFERROR(IF(INDEX(Assumptions!$G$177:$G$197,MATCH('Cash flow forecast'!$B204,Assumptions!$A$177:$A$197,0))="Salary",IF(AND('Cash flow forecast'!I$5&gt;=Assumptions!$E184,'Cash flow forecast'!I$5&lt;=Assumptions!$F184),Assumptions!$B184/12,0),IF(AND('Cash flow forecast'!I$5&gt;=Assumptions!$E184,'Cash flow forecast'!I$5&lt;=Assumptions!$F184),Assumptions!$C184*Assumptions!$D184,0)),"")</f>
        <v>0</v>
      </c>
      <c r="J204" s="222">
        <f>IFERROR(IF(INDEX(Assumptions!$G$177:$G$197,MATCH('Cash flow forecast'!$B204,Assumptions!$A$177:$A$197,0))="Salary",IF(AND('Cash flow forecast'!J$5&gt;=Assumptions!$E184,'Cash flow forecast'!J$5&lt;=Assumptions!$F184),Assumptions!$B184/12,0),IF(AND('Cash flow forecast'!J$5&gt;=Assumptions!$E184,'Cash flow forecast'!J$5&lt;=Assumptions!$F184),Assumptions!$C184*Assumptions!$D184,0)),"")</f>
        <v>0</v>
      </c>
      <c r="K204" s="222">
        <f>IFERROR(IF(INDEX(Assumptions!$G$177:$G$197,MATCH('Cash flow forecast'!$B204,Assumptions!$A$177:$A$197,0))="Salary",IF(AND('Cash flow forecast'!K$5&gt;=Assumptions!$E184,'Cash flow forecast'!K$5&lt;=Assumptions!$F184),Assumptions!$B184/12,0),IF(AND('Cash flow forecast'!K$5&gt;=Assumptions!$E184,'Cash flow forecast'!K$5&lt;=Assumptions!$F184),Assumptions!$C184*Assumptions!$D184,0)),"")</f>
        <v>0</v>
      </c>
      <c r="L204" s="222">
        <f>IFERROR(IF(INDEX(Assumptions!$G$177:$G$197,MATCH('Cash flow forecast'!$B204,Assumptions!$A$177:$A$197,0))="Salary",IF(AND('Cash flow forecast'!L$5&gt;=Assumptions!$E184,'Cash flow forecast'!L$5&lt;=Assumptions!$F184),Assumptions!$B184/12,0),IF(AND('Cash flow forecast'!L$5&gt;=Assumptions!$E184,'Cash flow forecast'!L$5&lt;=Assumptions!$F184),Assumptions!$C184*Assumptions!$D184,0)),"")</f>
        <v>0</v>
      </c>
      <c r="M204" s="222">
        <f>IFERROR(IF(INDEX(Assumptions!$G$177:$G$197,MATCH('Cash flow forecast'!$B204,Assumptions!$A$177:$A$197,0))="Salary",IF(AND('Cash flow forecast'!M$5&gt;=Assumptions!$E184,'Cash flow forecast'!M$5&lt;=Assumptions!$F184),Assumptions!$B184/12,0),IF(AND('Cash flow forecast'!M$5&gt;=Assumptions!$E184,'Cash flow forecast'!M$5&lt;=Assumptions!$F184),Assumptions!$C184*Assumptions!$D184,0)),"")</f>
        <v>0</v>
      </c>
      <c r="N204" s="223">
        <f>IFERROR(IF(INDEX(Assumptions!$G$177:$G$197,MATCH('Cash flow forecast'!$B204,Assumptions!$A$177:$A$197,0))="Salary",IF(AND('Cash flow forecast'!N$5&gt;=Assumptions!$E184,'Cash flow forecast'!N$5&lt;=Assumptions!$F184),Assumptions!$B184/12,0),IF(AND('Cash flow forecast'!N$5&gt;=Assumptions!$E184,'Cash flow forecast'!N$5&lt;=Assumptions!$F184),Assumptions!$C184*Assumptions!$D184,0)),"")</f>
        <v>8333.3333333333339</v>
      </c>
      <c r="O204" s="221">
        <f>IFERROR(IF(INDEX(Assumptions!$G$177:$G$197,MATCH('Cash flow forecast'!$B204,Assumptions!$A$177:$A$197,0))="Salary",IF(AND('Cash flow forecast'!O$5&gt;=Assumptions!$E184,'Cash flow forecast'!O$5&lt;=Assumptions!$F184),Assumptions!$B184/12,0),IF(AND('Cash flow forecast'!O$5&gt;=Assumptions!$E184,'Cash flow forecast'!O$5&lt;=Assumptions!$F184),Assumptions!$C184*Assumptions!$D184,0)),"")</f>
        <v>8333.3333333333339</v>
      </c>
      <c r="P204" s="222">
        <f>IFERROR(IF(INDEX(Assumptions!$G$177:$G$197,MATCH('Cash flow forecast'!$B204,Assumptions!$A$177:$A$197,0))="Salary",IF(AND('Cash flow forecast'!P$5&gt;=Assumptions!$E184,'Cash flow forecast'!P$5&lt;=Assumptions!$F184),Assumptions!$B184/12,0),IF(AND('Cash flow forecast'!P$5&gt;=Assumptions!$E184,'Cash flow forecast'!P$5&lt;=Assumptions!$F184),Assumptions!$C184*Assumptions!$D184,0)),"")</f>
        <v>8333.3333333333339</v>
      </c>
      <c r="Q204" s="222">
        <f>IFERROR(IF(INDEX(Assumptions!$G$177:$G$197,MATCH('Cash flow forecast'!$B204,Assumptions!$A$177:$A$197,0))="Salary",IF(AND('Cash flow forecast'!Q$5&gt;=Assumptions!$E184,'Cash flow forecast'!Q$5&lt;=Assumptions!$F184),Assumptions!$B184/12,0),IF(AND('Cash flow forecast'!Q$5&gt;=Assumptions!$E184,'Cash flow forecast'!Q$5&lt;=Assumptions!$F184),Assumptions!$C184*Assumptions!$D184,0)),"")</f>
        <v>8333.3333333333339</v>
      </c>
      <c r="R204" s="222">
        <f>IFERROR(IF(INDEX(Assumptions!$G$177:$G$197,MATCH('Cash flow forecast'!$B204,Assumptions!$A$177:$A$197,0))="Salary",IF(AND('Cash flow forecast'!R$5&gt;=Assumptions!$E184,'Cash flow forecast'!R$5&lt;=Assumptions!$F184),Assumptions!$B184/12,0),IF(AND('Cash flow forecast'!R$5&gt;=Assumptions!$E184,'Cash flow forecast'!R$5&lt;=Assumptions!$F184),Assumptions!$C184*Assumptions!$D184,0)),"")</f>
        <v>8333.3333333333339</v>
      </c>
      <c r="S204" s="222">
        <f>IFERROR(IF(INDEX(Assumptions!$G$177:$G$197,MATCH('Cash flow forecast'!$B204,Assumptions!$A$177:$A$197,0))="Salary",IF(AND('Cash flow forecast'!S$5&gt;=Assumptions!$E184,'Cash flow forecast'!S$5&lt;=Assumptions!$F184),Assumptions!$B184/12,0),IF(AND('Cash flow forecast'!S$5&gt;=Assumptions!$E184,'Cash flow forecast'!S$5&lt;=Assumptions!$F184),Assumptions!$C184*Assumptions!$D184,0)),"")</f>
        <v>8333.3333333333339</v>
      </c>
      <c r="T204" s="222">
        <f>IFERROR(IF(INDEX(Assumptions!$G$177:$G$197,MATCH('Cash flow forecast'!$B204,Assumptions!$A$177:$A$197,0))="Salary",IF(AND('Cash flow forecast'!T$5&gt;=Assumptions!$E184,'Cash flow forecast'!T$5&lt;=Assumptions!$F184),Assumptions!$B184/12,0),IF(AND('Cash flow forecast'!T$5&gt;=Assumptions!$E184,'Cash flow forecast'!T$5&lt;=Assumptions!$F184),Assumptions!$C184*Assumptions!$D184,0)),"")</f>
        <v>8333.3333333333339</v>
      </c>
      <c r="U204" s="222">
        <f>IFERROR(IF(INDEX(Assumptions!$G$177:$G$197,MATCH('Cash flow forecast'!$B204,Assumptions!$A$177:$A$197,0))="Salary",IF(AND('Cash flow forecast'!U$5&gt;=Assumptions!$E184,'Cash flow forecast'!U$5&lt;=Assumptions!$F184),Assumptions!$B184/12,0),IF(AND('Cash flow forecast'!U$5&gt;=Assumptions!$E184,'Cash flow forecast'!U$5&lt;=Assumptions!$F184),Assumptions!$C184*Assumptions!$D184,0)),"")</f>
        <v>8333.3333333333339</v>
      </c>
      <c r="V204" s="222">
        <f>IFERROR(IF(INDEX(Assumptions!$G$177:$G$197,MATCH('Cash flow forecast'!$B204,Assumptions!$A$177:$A$197,0))="Salary",IF(AND('Cash flow forecast'!V$5&gt;=Assumptions!$E184,'Cash flow forecast'!V$5&lt;=Assumptions!$F184),Assumptions!$B184/12,0),IF(AND('Cash flow forecast'!V$5&gt;=Assumptions!$E184,'Cash flow forecast'!V$5&lt;=Assumptions!$F184),Assumptions!$C184*Assumptions!$D184,0)),"")</f>
        <v>8333.3333333333339</v>
      </c>
      <c r="W204" s="222">
        <f>IFERROR(IF(INDEX(Assumptions!$G$177:$G$197,MATCH('Cash flow forecast'!$B204,Assumptions!$A$177:$A$197,0))="Salary",IF(AND('Cash flow forecast'!W$5&gt;=Assumptions!$E184,'Cash flow forecast'!W$5&lt;=Assumptions!$F184),Assumptions!$B184/12,0),IF(AND('Cash flow forecast'!W$5&gt;=Assumptions!$E184,'Cash flow forecast'!W$5&lt;=Assumptions!$F184),Assumptions!$C184*Assumptions!$D184,0)),"")</f>
        <v>8333.3333333333339</v>
      </c>
      <c r="X204" s="222">
        <f>IFERROR(IF(INDEX(Assumptions!$G$177:$G$197,MATCH('Cash flow forecast'!$B204,Assumptions!$A$177:$A$197,0))="Salary",IF(AND('Cash flow forecast'!X$5&gt;=Assumptions!$E184,'Cash flow forecast'!X$5&lt;=Assumptions!$F184),Assumptions!$B184/12,0),IF(AND('Cash flow forecast'!X$5&gt;=Assumptions!$E184,'Cash flow forecast'!X$5&lt;=Assumptions!$F184),Assumptions!$C184*Assumptions!$D184,0)),"")</f>
        <v>8333.3333333333339</v>
      </c>
      <c r="Y204" s="222">
        <f>IFERROR(IF(INDEX(Assumptions!$G$177:$G$197,MATCH('Cash flow forecast'!$B204,Assumptions!$A$177:$A$197,0))="Salary",IF(AND('Cash flow forecast'!Y$5&gt;=Assumptions!$E184,'Cash flow forecast'!Y$5&lt;=Assumptions!$F184),Assumptions!$B184/12,0),IF(AND('Cash flow forecast'!Y$5&gt;=Assumptions!$E184,'Cash flow forecast'!Y$5&lt;=Assumptions!$F184),Assumptions!$C184*Assumptions!$D184,0)),"")</f>
        <v>8333.3333333333339</v>
      </c>
      <c r="Z204" s="223">
        <f>IFERROR(IF(INDEX(Assumptions!$G$177:$G$197,MATCH('Cash flow forecast'!$B204,Assumptions!$A$177:$A$197,0))="Salary",IF(AND('Cash flow forecast'!Z$5&gt;=Assumptions!$E184,'Cash flow forecast'!Z$5&lt;=Assumptions!$F184),Assumptions!$B184/12,0),IF(AND('Cash flow forecast'!Z$5&gt;=Assumptions!$E184,'Cash flow forecast'!Z$5&lt;=Assumptions!$F184),Assumptions!$C184*Assumptions!$D184,0)),"")</f>
        <v>8333.3333333333339</v>
      </c>
      <c r="AA204" s="221">
        <f t="shared" si="185"/>
        <v>8333.3333333333339</v>
      </c>
      <c r="AB204" s="224">
        <f t="shared" si="185"/>
        <v>0</v>
      </c>
      <c r="AC204" s="224">
        <f t="shared" si="185"/>
        <v>0</v>
      </c>
      <c r="AD204" s="223">
        <f t="shared" si="185"/>
        <v>0</v>
      </c>
      <c r="AE204" s="225">
        <f t="shared" si="186"/>
        <v>8333.3333333333339</v>
      </c>
      <c r="AF204" s="221">
        <f t="shared" si="188"/>
        <v>25000</v>
      </c>
      <c r="AG204" s="224">
        <f t="shared" si="187"/>
        <v>25000</v>
      </c>
      <c r="AH204" s="224">
        <f t="shared" si="187"/>
        <v>25000</v>
      </c>
      <c r="AI204" s="223">
        <f t="shared" si="187"/>
        <v>25000</v>
      </c>
      <c r="AJ204" s="225">
        <f t="shared" si="189"/>
        <v>99999.999999999985</v>
      </c>
      <c r="AK204" s="243">
        <f t="shared" si="182"/>
        <v>0.10596533724489104</v>
      </c>
    </row>
    <row r="205" spans="2:37" ht="22.15" hidden="1" customHeight="1" outlineLevel="1" x14ac:dyDescent="0.25">
      <c r="B205" s="91" t="str">
        <f>IF(Assumptions!$A185="","",Assumptions!$A185)</f>
        <v>Test 9</v>
      </c>
      <c r="C205" s="221">
        <f>IFERROR(IF(INDEX(Assumptions!$G$177:$G$197,MATCH('Cash flow forecast'!$B205,Assumptions!$A$177:$A$197,0))="Salary",IF(AND('Cash flow forecast'!C$5&gt;=Assumptions!$E185,'Cash flow forecast'!C$5&lt;=Assumptions!$F185),Assumptions!$B185/12,0),IF(AND('Cash flow forecast'!C$5&gt;=Assumptions!$E185,'Cash flow forecast'!C$5&lt;=Assumptions!$F185),Assumptions!$C185*Assumptions!$D185,0)),"")</f>
        <v>0</v>
      </c>
      <c r="D205" s="222">
        <f>IFERROR(IF(INDEX(Assumptions!$G$177:$G$197,MATCH('Cash flow forecast'!$B205,Assumptions!$A$177:$A$197,0))="Salary",IF(AND('Cash flow forecast'!D$5&gt;=Assumptions!$E185,'Cash flow forecast'!D$5&lt;=Assumptions!$F185),Assumptions!$B185/12,0),IF(AND('Cash flow forecast'!D$5&gt;=Assumptions!$E185,'Cash flow forecast'!D$5&lt;=Assumptions!$F185),Assumptions!$C185*Assumptions!$D185,0)),"")</f>
        <v>0</v>
      </c>
      <c r="E205" s="222">
        <f>IFERROR(IF(INDEX(Assumptions!$G$177:$G$197,MATCH('Cash flow forecast'!$B205,Assumptions!$A$177:$A$197,0))="Salary",IF(AND('Cash flow forecast'!E$5&gt;=Assumptions!$E185,'Cash flow forecast'!E$5&lt;=Assumptions!$F185),Assumptions!$B185/12,0),IF(AND('Cash flow forecast'!E$5&gt;=Assumptions!$E185,'Cash flow forecast'!E$5&lt;=Assumptions!$F185),Assumptions!$C185*Assumptions!$D185,0)),"")</f>
        <v>0</v>
      </c>
      <c r="F205" s="222">
        <f>IFERROR(IF(INDEX(Assumptions!$G$177:$G$197,MATCH('Cash flow forecast'!$B205,Assumptions!$A$177:$A$197,0))="Salary",IF(AND('Cash flow forecast'!F$5&gt;=Assumptions!$E185,'Cash flow forecast'!F$5&lt;=Assumptions!$F185),Assumptions!$B185/12,0),IF(AND('Cash flow forecast'!F$5&gt;=Assumptions!$E185,'Cash flow forecast'!F$5&lt;=Assumptions!$F185),Assumptions!$C185*Assumptions!$D185,0)),"")</f>
        <v>0</v>
      </c>
      <c r="G205" s="222">
        <f>IFERROR(IF(INDEX(Assumptions!$G$177:$G$197,MATCH('Cash flow forecast'!$B205,Assumptions!$A$177:$A$197,0))="Salary",IF(AND('Cash flow forecast'!G$5&gt;=Assumptions!$E185,'Cash flow forecast'!G$5&lt;=Assumptions!$F185),Assumptions!$B185/12,0),IF(AND('Cash flow forecast'!G$5&gt;=Assumptions!$E185,'Cash flow forecast'!G$5&lt;=Assumptions!$F185),Assumptions!$C185*Assumptions!$D185,0)),"")</f>
        <v>0</v>
      </c>
      <c r="H205" s="222">
        <f>IFERROR(IF(INDEX(Assumptions!$G$177:$G$197,MATCH('Cash flow forecast'!$B205,Assumptions!$A$177:$A$197,0))="Salary",IF(AND('Cash flow forecast'!H$5&gt;=Assumptions!$E185,'Cash flow forecast'!H$5&lt;=Assumptions!$F185),Assumptions!$B185/12,0),IF(AND('Cash flow forecast'!H$5&gt;=Assumptions!$E185,'Cash flow forecast'!H$5&lt;=Assumptions!$F185),Assumptions!$C185*Assumptions!$D185,0)),"")</f>
        <v>0</v>
      </c>
      <c r="I205" s="222">
        <f>IFERROR(IF(INDEX(Assumptions!$G$177:$G$197,MATCH('Cash flow forecast'!$B205,Assumptions!$A$177:$A$197,0))="Salary",IF(AND('Cash flow forecast'!I$5&gt;=Assumptions!$E185,'Cash flow forecast'!I$5&lt;=Assumptions!$F185),Assumptions!$B185/12,0),IF(AND('Cash flow forecast'!I$5&gt;=Assumptions!$E185,'Cash flow forecast'!I$5&lt;=Assumptions!$F185),Assumptions!$C185*Assumptions!$D185,0)),"")</f>
        <v>0</v>
      </c>
      <c r="J205" s="222">
        <f>IFERROR(IF(INDEX(Assumptions!$G$177:$G$197,MATCH('Cash flow forecast'!$B205,Assumptions!$A$177:$A$197,0))="Salary",IF(AND('Cash flow forecast'!J$5&gt;=Assumptions!$E185,'Cash flow forecast'!J$5&lt;=Assumptions!$F185),Assumptions!$B185/12,0),IF(AND('Cash flow forecast'!J$5&gt;=Assumptions!$E185,'Cash flow forecast'!J$5&lt;=Assumptions!$F185),Assumptions!$C185*Assumptions!$D185,0)),"")</f>
        <v>0</v>
      </c>
      <c r="K205" s="222">
        <f>IFERROR(IF(INDEX(Assumptions!$G$177:$G$197,MATCH('Cash flow forecast'!$B205,Assumptions!$A$177:$A$197,0))="Salary",IF(AND('Cash flow forecast'!K$5&gt;=Assumptions!$E185,'Cash flow forecast'!K$5&lt;=Assumptions!$F185),Assumptions!$B185/12,0),IF(AND('Cash flow forecast'!K$5&gt;=Assumptions!$E185,'Cash flow forecast'!K$5&lt;=Assumptions!$F185),Assumptions!$C185*Assumptions!$D185,0)),"")</f>
        <v>0</v>
      </c>
      <c r="L205" s="222">
        <f>IFERROR(IF(INDEX(Assumptions!$G$177:$G$197,MATCH('Cash flow forecast'!$B205,Assumptions!$A$177:$A$197,0))="Salary",IF(AND('Cash flow forecast'!L$5&gt;=Assumptions!$E185,'Cash flow forecast'!L$5&lt;=Assumptions!$F185),Assumptions!$B185/12,0),IF(AND('Cash flow forecast'!L$5&gt;=Assumptions!$E185,'Cash flow forecast'!L$5&lt;=Assumptions!$F185),Assumptions!$C185*Assumptions!$D185,0)),"")</f>
        <v>0</v>
      </c>
      <c r="M205" s="222">
        <f>IFERROR(IF(INDEX(Assumptions!$G$177:$G$197,MATCH('Cash flow forecast'!$B205,Assumptions!$A$177:$A$197,0))="Salary",IF(AND('Cash flow forecast'!M$5&gt;=Assumptions!$E185,'Cash flow forecast'!M$5&lt;=Assumptions!$F185),Assumptions!$B185/12,0),IF(AND('Cash flow forecast'!M$5&gt;=Assumptions!$E185,'Cash flow forecast'!M$5&lt;=Assumptions!$F185),Assumptions!$C185*Assumptions!$D185,0)),"")</f>
        <v>0</v>
      </c>
      <c r="N205" s="223">
        <f>IFERROR(IF(INDEX(Assumptions!$G$177:$G$197,MATCH('Cash flow forecast'!$B205,Assumptions!$A$177:$A$197,0))="Salary",IF(AND('Cash flow forecast'!N$5&gt;=Assumptions!$E185,'Cash flow forecast'!N$5&lt;=Assumptions!$F185),Assumptions!$B185/12,0),IF(AND('Cash flow forecast'!N$5&gt;=Assumptions!$E185,'Cash flow forecast'!N$5&lt;=Assumptions!$F185),Assumptions!$C185*Assumptions!$D185,0)),"")</f>
        <v>750</v>
      </c>
      <c r="O205" s="221">
        <f>IFERROR(IF(INDEX(Assumptions!$G$177:$G$197,MATCH('Cash flow forecast'!$B205,Assumptions!$A$177:$A$197,0))="Salary",IF(AND('Cash flow forecast'!O$5&gt;=Assumptions!$E185,'Cash flow forecast'!O$5&lt;=Assumptions!$F185),Assumptions!$B185/12,0),IF(AND('Cash flow forecast'!O$5&gt;=Assumptions!$E185,'Cash flow forecast'!O$5&lt;=Assumptions!$F185),Assumptions!$C185*Assumptions!$D185,0)),"")</f>
        <v>750</v>
      </c>
      <c r="P205" s="222">
        <f>IFERROR(IF(INDEX(Assumptions!$G$177:$G$197,MATCH('Cash flow forecast'!$B205,Assumptions!$A$177:$A$197,0))="Salary",IF(AND('Cash flow forecast'!P$5&gt;=Assumptions!$E185,'Cash flow forecast'!P$5&lt;=Assumptions!$F185),Assumptions!$B185/12,0),IF(AND('Cash flow forecast'!P$5&gt;=Assumptions!$E185,'Cash flow forecast'!P$5&lt;=Assumptions!$F185),Assumptions!$C185*Assumptions!$D185,0)),"")</f>
        <v>750</v>
      </c>
      <c r="Q205" s="222">
        <f>IFERROR(IF(INDEX(Assumptions!$G$177:$G$197,MATCH('Cash flow forecast'!$B205,Assumptions!$A$177:$A$197,0))="Salary",IF(AND('Cash flow forecast'!Q$5&gt;=Assumptions!$E185,'Cash flow forecast'!Q$5&lt;=Assumptions!$F185),Assumptions!$B185/12,0),IF(AND('Cash flow forecast'!Q$5&gt;=Assumptions!$E185,'Cash flow forecast'!Q$5&lt;=Assumptions!$F185),Assumptions!$C185*Assumptions!$D185,0)),"")</f>
        <v>750</v>
      </c>
      <c r="R205" s="222">
        <f>IFERROR(IF(INDEX(Assumptions!$G$177:$G$197,MATCH('Cash flow forecast'!$B205,Assumptions!$A$177:$A$197,0))="Salary",IF(AND('Cash flow forecast'!R$5&gt;=Assumptions!$E185,'Cash flow forecast'!R$5&lt;=Assumptions!$F185),Assumptions!$B185/12,0),IF(AND('Cash flow forecast'!R$5&gt;=Assumptions!$E185,'Cash flow forecast'!R$5&lt;=Assumptions!$F185),Assumptions!$C185*Assumptions!$D185,0)),"")</f>
        <v>750</v>
      </c>
      <c r="S205" s="222">
        <f>IFERROR(IF(INDEX(Assumptions!$G$177:$G$197,MATCH('Cash flow forecast'!$B205,Assumptions!$A$177:$A$197,0))="Salary",IF(AND('Cash flow forecast'!S$5&gt;=Assumptions!$E185,'Cash flow forecast'!S$5&lt;=Assumptions!$F185),Assumptions!$B185/12,0),IF(AND('Cash flow forecast'!S$5&gt;=Assumptions!$E185,'Cash flow forecast'!S$5&lt;=Assumptions!$F185),Assumptions!$C185*Assumptions!$D185,0)),"")</f>
        <v>750</v>
      </c>
      <c r="T205" s="222">
        <f>IFERROR(IF(INDEX(Assumptions!$G$177:$G$197,MATCH('Cash flow forecast'!$B205,Assumptions!$A$177:$A$197,0))="Salary",IF(AND('Cash flow forecast'!T$5&gt;=Assumptions!$E185,'Cash flow forecast'!T$5&lt;=Assumptions!$F185),Assumptions!$B185/12,0),IF(AND('Cash flow forecast'!T$5&gt;=Assumptions!$E185,'Cash flow forecast'!T$5&lt;=Assumptions!$F185),Assumptions!$C185*Assumptions!$D185,0)),"")</f>
        <v>750</v>
      </c>
      <c r="U205" s="222">
        <f>IFERROR(IF(INDEX(Assumptions!$G$177:$G$197,MATCH('Cash flow forecast'!$B205,Assumptions!$A$177:$A$197,0))="Salary",IF(AND('Cash flow forecast'!U$5&gt;=Assumptions!$E185,'Cash flow forecast'!U$5&lt;=Assumptions!$F185),Assumptions!$B185/12,0),IF(AND('Cash flow forecast'!U$5&gt;=Assumptions!$E185,'Cash flow forecast'!U$5&lt;=Assumptions!$F185),Assumptions!$C185*Assumptions!$D185,0)),"")</f>
        <v>750</v>
      </c>
      <c r="V205" s="222">
        <f>IFERROR(IF(INDEX(Assumptions!$G$177:$G$197,MATCH('Cash flow forecast'!$B205,Assumptions!$A$177:$A$197,0))="Salary",IF(AND('Cash flow forecast'!V$5&gt;=Assumptions!$E185,'Cash flow forecast'!V$5&lt;=Assumptions!$F185),Assumptions!$B185/12,0),IF(AND('Cash flow forecast'!V$5&gt;=Assumptions!$E185,'Cash flow forecast'!V$5&lt;=Assumptions!$F185),Assumptions!$C185*Assumptions!$D185,0)),"")</f>
        <v>750</v>
      </c>
      <c r="W205" s="222">
        <f>IFERROR(IF(INDEX(Assumptions!$G$177:$G$197,MATCH('Cash flow forecast'!$B205,Assumptions!$A$177:$A$197,0))="Salary",IF(AND('Cash flow forecast'!W$5&gt;=Assumptions!$E185,'Cash flow forecast'!W$5&lt;=Assumptions!$F185),Assumptions!$B185/12,0),IF(AND('Cash flow forecast'!W$5&gt;=Assumptions!$E185,'Cash flow forecast'!W$5&lt;=Assumptions!$F185),Assumptions!$C185*Assumptions!$D185,0)),"")</f>
        <v>750</v>
      </c>
      <c r="X205" s="222">
        <f>IFERROR(IF(INDEX(Assumptions!$G$177:$G$197,MATCH('Cash flow forecast'!$B205,Assumptions!$A$177:$A$197,0))="Salary",IF(AND('Cash flow forecast'!X$5&gt;=Assumptions!$E185,'Cash flow forecast'!X$5&lt;=Assumptions!$F185),Assumptions!$B185/12,0),IF(AND('Cash flow forecast'!X$5&gt;=Assumptions!$E185,'Cash flow forecast'!X$5&lt;=Assumptions!$F185),Assumptions!$C185*Assumptions!$D185,0)),"")</f>
        <v>750</v>
      </c>
      <c r="Y205" s="222">
        <f>IFERROR(IF(INDEX(Assumptions!$G$177:$G$197,MATCH('Cash flow forecast'!$B205,Assumptions!$A$177:$A$197,0))="Salary",IF(AND('Cash flow forecast'!Y$5&gt;=Assumptions!$E185,'Cash flow forecast'!Y$5&lt;=Assumptions!$F185),Assumptions!$B185/12,0),IF(AND('Cash flow forecast'!Y$5&gt;=Assumptions!$E185,'Cash flow forecast'!Y$5&lt;=Assumptions!$F185),Assumptions!$C185*Assumptions!$D185,0)),"")</f>
        <v>750</v>
      </c>
      <c r="Z205" s="223">
        <f>IFERROR(IF(INDEX(Assumptions!$G$177:$G$197,MATCH('Cash flow forecast'!$B205,Assumptions!$A$177:$A$197,0))="Salary",IF(AND('Cash flow forecast'!Z$5&gt;=Assumptions!$E185,'Cash flow forecast'!Z$5&lt;=Assumptions!$F185),Assumptions!$B185/12,0),IF(AND('Cash flow forecast'!Z$5&gt;=Assumptions!$E185,'Cash flow forecast'!Z$5&lt;=Assumptions!$F185),Assumptions!$C185*Assumptions!$D185,0)),"")</f>
        <v>750</v>
      </c>
      <c r="AA205" s="221">
        <f t="shared" si="185"/>
        <v>750</v>
      </c>
      <c r="AB205" s="224">
        <f t="shared" si="185"/>
        <v>0</v>
      </c>
      <c r="AC205" s="224">
        <f t="shared" si="185"/>
        <v>0</v>
      </c>
      <c r="AD205" s="223">
        <f t="shared" si="185"/>
        <v>0</v>
      </c>
      <c r="AE205" s="225">
        <f t="shared" si="186"/>
        <v>750</v>
      </c>
      <c r="AF205" s="221">
        <f t="shared" si="188"/>
        <v>2250</v>
      </c>
      <c r="AG205" s="224">
        <f t="shared" si="187"/>
        <v>2250</v>
      </c>
      <c r="AH205" s="224">
        <f t="shared" si="187"/>
        <v>2250</v>
      </c>
      <c r="AI205" s="223">
        <f t="shared" si="187"/>
        <v>2250</v>
      </c>
      <c r="AJ205" s="225">
        <f t="shared" si="189"/>
        <v>9000</v>
      </c>
      <c r="AK205" s="243">
        <f t="shared" si="182"/>
        <v>9.5368803520401949E-3</v>
      </c>
    </row>
    <row r="206" spans="2:37" ht="22.15" hidden="1" customHeight="1" outlineLevel="1" x14ac:dyDescent="0.25">
      <c r="B206" s="91" t="str">
        <f>IF(Assumptions!$A186="","",Assumptions!$A186)</f>
        <v>Test 10</v>
      </c>
      <c r="C206" s="221">
        <f>IFERROR(IF(INDEX(Assumptions!$G$177:$G$197,MATCH('Cash flow forecast'!$B206,Assumptions!$A$177:$A$197,0))="Salary",IF(AND('Cash flow forecast'!C$5&gt;=Assumptions!$E186,'Cash flow forecast'!C$5&lt;=Assumptions!$F186),Assumptions!$B186/12,0),IF(AND('Cash flow forecast'!C$5&gt;=Assumptions!$E186,'Cash flow forecast'!C$5&lt;=Assumptions!$F186),Assumptions!$C186*Assumptions!$D186,0)),"")</f>
        <v>0</v>
      </c>
      <c r="D206" s="222">
        <f>IFERROR(IF(INDEX(Assumptions!$G$177:$G$197,MATCH('Cash flow forecast'!$B206,Assumptions!$A$177:$A$197,0))="Salary",IF(AND('Cash flow forecast'!D$5&gt;=Assumptions!$E186,'Cash flow forecast'!D$5&lt;=Assumptions!$F186),Assumptions!$B186/12,0),IF(AND('Cash flow forecast'!D$5&gt;=Assumptions!$E186,'Cash flow forecast'!D$5&lt;=Assumptions!$F186),Assumptions!$C186*Assumptions!$D186,0)),"")</f>
        <v>0</v>
      </c>
      <c r="E206" s="222">
        <f>IFERROR(IF(INDEX(Assumptions!$G$177:$G$197,MATCH('Cash flow forecast'!$B206,Assumptions!$A$177:$A$197,0))="Salary",IF(AND('Cash flow forecast'!E$5&gt;=Assumptions!$E186,'Cash flow forecast'!E$5&lt;=Assumptions!$F186),Assumptions!$B186/12,0),IF(AND('Cash flow forecast'!E$5&gt;=Assumptions!$E186,'Cash flow forecast'!E$5&lt;=Assumptions!$F186),Assumptions!$C186*Assumptions!$D186,0)),"")</f>
        <v>0</v>
      </c>
      <c r="F206" s="222">
        <f>IFERROR(IF(INDEX(Assumptions!$G$177:$G$197,MATCH('Cash flow forecast'!$B206,Assumptions!$A$177:$A$197,0))="Salary",IF(AND('Cash flow forecast'!F$5&gt;=Assumptions!$E186,'Cash flow forecast'!F$5&lt;=Assumptions!$F186),Assumptions!$B186/12,0),IF(AND('Cash flow forecast'!F$5&gt;=Assumptions!$E186,'Cash flow forecast'!F$5&lt;=Assumptions!$F186),Assumptions!$C186*Assumptions!$D186,0)),"")</f>
        <v>0</v>
      </c>
      <c r="G206" s="222">
        <f>IFERROR(IF(INDEX(Assumptions!$G$177:$G$197,MATCH('Cash flow forecast'!$B206,Assumptions!$A$177:$A$197,0))="Salary",IF(AND('Cash flow forecast'!G$5&gt;=Assumptions!$E186,'Cash flow forecast'!G$5&lt;=Assumptions!$F186),Assumptions!$B186/12,0),IF(AND('Cash flow forecast'!G$5&gt;=Assumptions!$E186,'Cash flow forecast'!G$5&lt;=Assumptions!$F186),Assumptions!$C186*Assumptions!$D186,0)),"")</f>
        <v>2000</v>
      </c>
      <c r="H206" s="222">
        <f>IFERROR(IF(INDEX(Assumptions!$G$177:$G$197,MATCH('Cash flow forecast'!$B206,Assumptions!$A$177:$A$197,0))="Salary",IF(AND('Cash flow forecast'!H$5&gt;=Assumptions!$E186,'Cash flow forecast'!H$5&lt;=Assumptions!$F186),Assumptions!$B186/12,0),IF(AND('Cash flow forecast'!H$5&gt;=Assumptions!$E186,'Cash flow forecast'!H$5&lt;=Assumptions!$F186),Assumptions!$C186*Assumptions!$D186,0)),"")</f>
        <v>2000</v>
      </c>
      <c r="I206" s="222">
        <f>IFERROR(IF(INDEX(Assumptions!$G$177:$G$197,MATCH('Cash flow forecast'!$B206,Assumptions!$A$177:$A$197,0))="Salary",IF(AND('Cash flow forecast'!I$5&gt;=Assumptions!$E186,'Cash flow forecast'!I$5&lt;=Assumptions!$F186),Assumptions!$B186/12,0),IF(AND('Cash flow forecast'!I$5&gt;=Assumptions!$E186,'Cash flow forecast'!I$5&lt;=Assumptions!$F186),Assumptions!$C186*Assumptions!$D186,0)),"")</f>
        <v>2000</v>
      </c>
      <c r="J206" s="222">
        <f>IFERROR(IF(INDEX(Assumptions!$G$177:$G$197,MATCH('Cash flow forecast'!$B206,Assumptions!$A$177:$A$197,0))="Salary",IF(AND('Cash flow forecast'!J$5&gt;=Assumptions!$E186,'Cash flow forecast'!J$5&lt;=Assumptions!$F186),Assumptions!$B186/12,0),IF(AND('Cash flow forecast'!J$5&gt;=Assumptions!$E186,'Cash flow forecast'!J$5&lt;=Assumptions!$F186),Assumptions!$C186*Assumptions!$D186,0)),"")</f>
        <v>2000</v>
      </c>
      <c r="K206" s="222">
        <f>IFERROR(IF(INDEX(Assumptions!$G$177:$G$197,MATCH('Cash flow forecast'!$B206,Assumptions!$A$177:$A$197,0))="Salary",IF(AND('Cash flow forecast'!K$5&gt;=Assumptions!$E186,'Cash flow forecast'!K$5&lt;=Assumptions!$F186),Assumptions!$B186/12,0),IF(AND('Cash flow forecast'!K$5&gt;=Assumptions!$E186,'Cash flow forecast'!K$5&lt;=Assumptions!$F186),Assumptions!$C186*Assumptions!$D186,0)),"")</f>
        <v>2000</v>
      </c>
      <c r="L206" s="222">
        <f>IFERROR(IF(INDEX(Assumptions!$G$177:$G$197,MATCH('Cash flow forecast'!$B206,Assumptions!$A$177:$A$197,0))="Salary",IF(AND('Cash flow forecast'!L$5&gt;=Assumptions!$E186,'Cash flow forecast'!L$5&lt;=Assumptions!$F186),Assumptions!$B186/12,0),IF(AND('Cash flow forecast'!L$5&gt;=Assumptions!$E186,'Cash flow forecast'!L$5&lt;=Assumptions!$F186),Assumptions!$C186*Assumptions!$D186,0)),"")</f>
        <v>2000</v>
      </c>
      <c r="M206" s="222">
        <f>IFERROR(IF(INDEX(Assumptions!$G$177:$G$197,MATCH('Cash flow forecast'!$B206,Assumptions!$A$177:$A$197,0))="Salary",IF(AND('Cash flow forecast'!M$5&gt;=Assumptions!$E186,'Cash flow forecast'!M$5&lt;=Assumptions!$F186),Assumptions!$B186/12,0),IF(AND('Cash flow forecast'!M$5&gt;=Assumptions!$E186,'Cash flow forecast'!M$5&lt;=Assumptions!$F186),Assumptions!$C186*Assumptions!$D186,0)),"")</f>
        <v>2000</v>
      </c>
      <c r="N206" s="223">
        <f>IFERROR(IF(INDEX(Assumptions!$G$177:$G$197,MATCH('Cash flow forecast'!$B206,Assumptions!$A$177:$A$197,0))="Salary",IF(AND('Cash flow forecast'!N$5&gt;=Assumptions!$E186,'Cash flow forecast'!N$5&lt;=Assumptions!$F186),Assumptions!$B186/12,0),IF(AND('Cash flow forecast'!N$5&gt;=Assumptions!$E186,'Cash flow forecast'!N$5&lt;=Assumptions!$F186),Assumptions!$C186*Assumptions!$D186,0)),"")</f>
        <v>2000</v>
      </c>
      <c r="O206" s="221">
        <f>IFERROR(IF(INDEX(Assumptions!$G$177:$G$197,MATCH('Cash flow forecast'!$B206,Assumptions!$A$177:$A$197,0))="Salary",IF(AND('Cash flow forecast'!O$5&gt;=Assumptions!$E186,'Cash flow forecast'!O$5&lt;=Assumptions!$F186),Assumptions!$B186/12,0),IF(AND('Cash flow forecast'!O$5&gt;=Assumptions!$E186,'Cash flow forecast'!O$5&lt;=Assumptions!$F186),Assumptions!$C186*Assumptions!$D186,0)),"")</f>
        <v>2000</v>
      </c>
      <c r="P206" s="222">
        <f>IFERROR(IF(INDEX(Assumptions!$G$177:$G$197,MATCH('Cash flow forecast'!$B206,Assumptions!$A$177:$A$197,0))="Salary",IF(AND('Cash flow forecast'!P$5&gt;=Assumptions!$E186,'Cash flow forecast'!P$5&lt;=Assumptions!$F186),Assumptions!$B186/12,0),IF(AND('Cash flow forecast'!P$5&gt;=Assumptions!$E186,'Cash flow forecast'!P$5&lt;=Assumptions!$F186),Assumptions!$C186*Assumptions!$D186,0)),"")</f>
        <v>2000</v>
      </c>
      <c r="Q206" s="222">
        <f>IFERROR(IF(INDEX(Assumptions!$G$177:$G$197,MATCH('Cash flow forecast'!$B206,Assumptions!$A$177:$A$197,0))="Salary",IF(AND('Cash flow forecast'!Q$5&gt;=Assumptions!$E186,'Cash flow forecast'!Q$5&lt;=Assumptions!$F186),Assumptions!$B186/12,0),IF(AND('Cash flow forecast'!Q$5&gt;=Assumptions!$E186,'Cash flow forecast'!Q$5&lt;=Assumptions!$F186),Assumptions!$C186*Assumptions!$D186,0)),"")</f>
        <v>2000</v>
      </c>
      <c r="R206" s="222">
        <f>IFERROR(IF(INDEX(Assumptions!$G$177:$G$197,MATCH('Cash flow forecast'!$B206,Assumptions!$A$177:$A$197,0))="Salary",IF(AND('Cash flow forecast'!R$5&gt;=Assumptions!$E186,'Cash flow forecast'!R$5&lt;=Assumptions!$F186),Assumptions!$B186/12,0),IF(AND('Cash flow forecast'!R$5&gt;=Assumptions!$E186,'Cash flow forecast'!R$5&lt;=Assumptions!$F186),Assumptions!$C186*Assumptions!$D186,0)),"")</f>
        <v>2000</v>
      </c>
      <c r="S206" s="222">
        <f>IFERROR(IF(INDEX(Assumptions!$G$177:$G$197,MATCH('Cash flow forecast'!$B206,Assumptions!$A$177:$A$197,0))="Salary",IF(AND('Cash flow forecast'!S$5&gt;=Assumptions!$E186,'Cash flow forecast'!S$5&lt;=Assumptions!$F186),Assumptions!$B186/12,0),IF(AND('Cash flow forecast'!S$5&gt;=Assumptions!$E186,'Cash flow forecast'!S$5&lt;=Assumptions!$F186),Assumptions!$C186*Assumptions!$D186,0)),"")</f>
        <v>2000</v>
      </c>
      <c r="T206" s="222">
        <f>IFERROR(IF(INDEX(Assumptions!$G$177:$G$197,MATCH('Cash flow forecast'!$B206,Assumptions!$A$177:$A$197,0))="Salary",IF(AND('Cash flow forecast'!T$5&gt;=Assumptions!$E186,'Cash flow forecast'!T$5&lt;=Assumptions!$F186),Assumptions!$B186/12,0),IF(AND('Cash flow forecast'!T$5&gt;=Assumptions!$E186,'Cash flow forecast'!T$5&lt;=Assumptions!$F186),Assumptions!$C186*Assumptions!$D186,0)),"")</f>
        <v>2000</v>
      </c>
      <c r="U206" s="222">
        <f>IFERROR(IF(INDEX(Assumptions!$G$177:$G$197,MATCH('Cash flow forecast'!$B206,Assumptions!$A$177:$A$197,0))="Salary",IF(AND('Cash flow forecast'!U$5&gt;=Assumptions!$E186,'Cash flow forecast'!U$5&lt;=Assumptions!$F186),Assumptions!$B186/12,0),IF(AND('Cash flow forecast'!U$5&gt;=Assumptions!$E186,'Cash flow forecast'!U$5&lt;=Assumptions!$F186),Assumptions!$C186*Assumptions!$D186,0)),"")</f>
        <v>2000</v>
      </c>
      <c r="V206" s="222">
        <f>IFERROR(IF(INDEX(Assumptions!$G$177:$G$197,MATCH('Cash flow forecast'!$B206,Assumptions!$A$177:$A$197,0))="Salary",IF(AND('Cash flow forecast'!V$5&gt;=Assumptions!$E186,'Cash flow forecast'!V$5&lt;=Assumptions!$F186),Assumptions!$B186/12,0),IF(AND('Cash flow forecast'!V$5&gt;=Assumptions!$E186,'Cash flow forecast'!V$5&lt;=Assumptions!$F186),Assumptions!$C186*Assumptions!$D186,0)),"")</f>
        <v>2000</v>
      </c>
      <c r="W206" s="222">
        <f>IFERROR(IF(INDEX(Assumptions!$G$177:$G$197,MATCH('Cash flow forecast'!$B206,Assumptions!$A$177:$A$197,0))="Salary",IF(AND('Cash flow forecast'!W$5&gt;=Assumptions!$E186,'Cash flow forecast'!W$5&lt;=Assumptions!$F186),Assumptions!$B186/12,0),IF(AND('Cash flow forecast'!W$5&gt;=Assumptions!$E186,'Cash flow forecast'!W$5&lt;=Assumptions!$F186),Assumptions!$C186*Assumptions!$D186,0)),"")</f>
        <v>2000</v>
      </c>
      <c r="X206" s="222">
        <f>IFERROR(IF(INDEX(Assumptions!$G$177:$G$197,MATCH('Cash flow forecast'!$B206,Assumptions!$A$177:$A$197,0))="Salary",IF(AND('Cash flow forecast'!X$5&gt;=Assumptions!$E186,'Cash flow forecast'!X$5&lt;=Assumptions!$F186),Assumptions!$B186/12,0),IF(AND('Cash flow forecast'!X$5&gt;=Assumptions!$E186,'Cash flow forecast'!X$5&lt;=Assumptions!$F186),Assumptions!$C186*Assumptions!$D186,0)),"")</f>
        <v>2000</v>
      </c>
      <c r="Y206" s="222">
        <f>IFERROR(IF(INDEX(Assumptions!$G$177:$G$197,MATCH('Cash flow forecast'!$B206,Assumptions!$A$177:$A$197,0))="Salary",IF(AND('Cash flow forecast'!Y$5&gt;=Assumptions!$E186,'Cash flow forecast'!Y$5&lt;=Assumptions!$F186),Assumptions!$B186/12,0),IF(AND('Cash flow forecast'!Y$5&gt;=Assumptions!$E186,'Cash flow forecast'!Y$5&lt;=Assumptions!$F186),Assumptions!$C186*Assumptions!$D186,0)),"")</f>
        <v>2000</v>
      </c>
      <c r="Z206" s="223">
        <f>IFERROR(IF(INDEX(Assumptions!$G$177:$G$197,MATCH('Cash flow forecast'!$B206,Assumptions!$A$177:$A$197,0))="Salary",IF(AND('Cash flow forecast'!Z$5&gt;=Assumptions!$E186,'Cash flow forecast'!Z$5&lt;=Assumptions!$F186),Assumptions!$B186/12,0),IF(AND('Cash flow forecast'!Z$5&gt;=Assumptions!$E186,'Cash flow forecast'!Z$5&lt;=Assumptions!$F186),Assumptions!$C186*Assumptions!$D186,0)),"")</f>
        <v>2000</v>
      </c>
      <c r="AA206" s="221">
        <f t="shared" si="185"/>
        <v>4000</v>
      </c>
      <c r="AB206" s="224">
        <f t="shared" si="185"/>
        <v>0</v>
      </c>
      <c r="AC206" s="224">
        <f t="shared" si="185"/>
        <v>6000</v>
      </c>
      <c r="AD206" s="223">
        <f t="shared" si="185"/>
        <v>6000</v>
      </c>
      <c r="AE206" s="225">
        <f t="shared" si="186"/>
        <v>16000</v>
      </c>
      <c r="AF206" s="221">
        <f t="shared" si="188"/>
        <v>6000</v>
      </c>
      <c r="AG206" s="224">
        <f t="shared" si="187"/>
        <v>6000</v>
      </c>
      <c r="AH206" s="224">
        <f t="shared" si="187"/>
        <v>6000</v>
      </c>
      <c r="AI206" s="223">
        <f t="shared" si="187"/>
        <v>6000</v>
      </c>
      <c r="AJ206" s="225">
        <f t="shared" si="189"/>
        <v>24000</v>
      </c>
      <c r="AK206" s="243">
        <f t="shared" si="182"/>
        <v>3.9125662982729008E-2</v>
      </c>
    </row>
    <row r="207" spans="2:37" ht="22.15" hidden="1" customHeight="1" outlineLevel="1" x14ac:dyDescent="0.25">
      <c r="B207" s="91" t="str">
        <f>IF(Assumptions!$A187="","",Assumptions!$A187)</f>
        <v/>
      </c>
      <c r="C207" s="221" t="str">
        <f>IFERROR(IF(INDEX(Assumptions!$G$177:$G$197,MATCH('Cash flow forecast'!$B207,Assumptions!$A$177:$A$197,0))="Salary",IF(AND('Cash flow forecast'!C$5&gt;=Assumptions!$E187,'Cash flow forecast'!C$5&lt;=Assumptions!$F187),Assumptions!$B187/12,0),IF(AND('Cash flow forecast'!C$5&gt;=Assumptions!$E187,'Cash flow forecast'!C$5&lt;=Assumptions!$F187),Assumptions!$C187*Assumptions!$D187,0)),"")</f>
        <v/>
      </c>
      <c r="D207" s="222" t="str">
        <f>IFERROR(IF(INDEX(Assumptions!$G$177:$G$197,MATCH('Cash flow forecast'!$B207,Assumptions!$A$177:$A$197,0))="Salary",IF(AND('Cash flow forecast'!D$5&gt;=Assumptions!$E187,'Cash flow forecast'!D$5&lt;=Assumptions!$F187),Assumptions!$B187/12,0),IF(AND('Cash flow forecast'!D$5&gt;=Assumptions!$E187,'Cash flow forecast'!D$5&lt;=Assumptions!$F187),Assumptions!$C187*Assumptions!$D187,0)),"")</f>
        <v/>
      </c>
      <c r="E207" s="222" t="str">
        <f>IFERROR(IF(INDEX(Assumptions!$G$177:$G$197,MATCH('Cash flow forecast'!$B207,Assumptions!$A$177:$A$197,0))="Salary",IF(AND('Cash flow forecast'!E$5&gt;=Assumptions!$E187,'Cash flow forecast'!E$5&lt;=Assumptions!$F187),Assumptions!$B187/12,0),IF(AND('Cash flow forecast'!E$5&gt;=Assumptions!$E187,'Cash flow forecast'!E$5&lt;=Assumptions!$F187),Assumptions!$C187*Assumptions!$D187,0)),"")</f>
        <v/>
      </c>
      <c r="F207" s="222" t="str">
        <f>IFERROR(IF(INDEX(Assumptions!$G$177:$G$197,MATCH('Cash flow forecast'!$B207,Assumptions!$A$177:$A$197,0))="Salary",IF(AND('Cash flow forecast'!F$5&gt;=Assumptions!$E187,'Cash flow forecast'!F$5&lt;=Assumptions!$F187),Assumptions!$B187/12,0),IF(AND('Cash flow forecast'!F$5&gt;=Assumptions!$E187,'Cash flow forecast'!F$5&lt;=Assumptions!$F187),Assumptions!$C187*Assumptions!$D187,0)),"")</f>
        <v/>
      </c>
      <c r="G207" s="222" t="str">
        <f>IFERROR(IF(INDEX(Assumptions!$G$177:$G$197,MATCH('Cash flow forecast'!$B207,Assumptions!$A$177:$A$197,0))="Salary",IF(AND('Cash flow forecast'!G$5&gt;=Assumptions!$E187,'Cash flow forecast'!G$5&lt;=Assumptions!$F187),Assumptions!$B187/12,0),IF(AND('Cash flow forecast'!G$5&gt;=Assumptions!$E187,'Cash flow forecast'!G$5&lt;=Assumptions!$F187),Assumptions!$C187*Assumptions!$D187,0)),"")</f>
        <v/>
      </c>
      <c r="H207" s="222" t="str">
        <f>IFERROR(IF(INDEX(Assumptions!$G$177:$G$197,MATCH('Cash flow forecast'!$B207,Assumptions!$A$177:$A$197,0))="Salary",IF(AND('Cash flow forecast'!H$5&gt;=Assumptions!$E187,'Cash flow forecast'!H$5&lt;=Assumptions!$F187),Assumptions!$B187/12,0),IF(AND('Cash flow forecast'!H$5&gt;=Assumptions!$E187,'Cash flow forecast'!H$5&lt;=Assumptions!$F187),Assumptions!$C187*Assumptions!$D187,0)),"")</f>
        <v/>
      </c>
      <c r="I207" s="222" t="str">
        <f>IFERROR(IF(INDEX(Assumptions!$G$177:$G$197,MATCH('Cash flow forecast'!$B207,Assumptions!$A$177:$A$197,0))="Salary",IF(AND('Cash flow forecast'!I$5&gt;=Assumptions!$E187,'Cash flow forecast'!I$5&lt;=Assumptions!$F187),Assumptions!$B187/12,0),IF(AND('Cash flow forecast'!I$5&gt;=Assumptions!$E187,'Cash flow forecast'!I$5&lt;=Assumptions!$F187),Assumptions!$C187*Assumptions!$D187,0)),"")</f>
        <v/>
      </c>
      <c r="J207" s="222" t="str">
        <f>IFERROR(IF(INDEX(Assumptions!$G$177:$G$197,MATCH('Cash flow forecast'!$B207,Assumptions!$A$177:$A$197,0))="Salary",IF(AND('Cash flow forecast'!J$5&gt;=Assumptions!$E187,'Cash flow forecast'!J$5&lt;=Assumptions!$F187),Assumptions!$B187/12,0),IF(AND('Cash flow forecast'!J$5&gt;=Assumptions!$E187,'Cash flow forecast'!J$5&lt;=Assumptions!$F187),Assumptions!$C187*Assumptions!$D187,0)),"")</f>
        <v/>
      </c>
      <c r="K207" s="222" t="str">
        <f>IFERROR(IF(INDEX(Assumptions!$G$177:$G$197,MATCH('Cash flow forecast'!$B207,Assumptions!$A$177:$A$197,0))="Salary",IF(AND('Cash flow forecast'!K$5&gt;=Assumptions!$E187,'Cash flow forecast'!K$5&lt;=Assumptions!$F187),Assumptions!$B187/12,0),IF(AND('Cash flow forecast'!K$5&gt;=Assumptions!$E187,'Cash flow forecast'!K$5&lt;=Assumptions!$F187),Assumptions!$C187*Assumptions!$D187,0)),"")</f>
        <v/>
      </c>
      <c r="L207" s="222" t="str">
        <f>IFERROR(IF(INDEX(Assumptions!$G$177:$G$197,MATCH('Cash flow forecast'!$B207,Assumptions!$A$177:$A$197,0))="Salary",IF(AND('Cash flow forecast'!L$5&gt;=Assumptions!$E187,'Cash flow forecast'!L$5&lt;=Assumptions!$F187),Assumptions!$B187/12,0),IF(AND('Cash flow forecast'!L$5&gt;=Assumptions!$E187,'Cash flow forecast'!L$5&lt;=Assumptions!$F187),Assumptions!$C187*Assumptions!$D187,0)),"")</f>
        <v/>
      </c>
      <c r="M207" s="222" t="str">
        <f>IFERROR(IF(INDEX(Assumptions!$G$177:$G$197,MATCH('Cash flow forecast'!$B207,Assumptions!$A$177:$A$197,0))="Salary",IF(AND('Cash flow forecast'!M$5&gt;=Assumptions!$E187,'Cash flow forecast'!M$5&lt;=Assumptions!$F187),Assumptions!$B187/12,0),IF(AND('Cash flow forecast'!M$5&gt;=Assumptions!$E187,'Cash flow forecast'!M$5&lt;=Assumptions!$F187),Assumptions!$C187*Assumptions!$D187,0)),"")</f>
        <v/>
      </c>
      <c r="N207" s="223" t="str">
        <f>IFERROR(IF(INDEX(Assumptions!$G$177:$G$197,MATCH('Cash flow forecast'!$B207,Assumptions!$A$177:$A$197,0))="Salary",IF(AND('Cash flow forecast'!N$5&gt;=Assumptions!$E187,'Cash flow forecast'!N$5&lt;=Assumptions!$F187),Assumptions!$B187/12,0),IF(AND('Cash flow forecast'!N$5&gt;=Assumptions!$E187,'Cash flow forecast'!N$5&lt;=Assumptions!$F187),Assumptions!$C187*Assumptions!$D187,0)),"")</f>
        <v/>
      </c>
      <c r="O207" s="221" t="str">
        <f>IFERROR(IF(INDEX(Assumptions!$G$177:$G$197,MATCH('Cash flow forecast'!$B207,Assumptions!$A$177:$A$197,0))="Salary",IF(AND('Cash flow forecast'!O$5&gt;=Assumptions!$E187,'Cash flow forecast'!O$5&lt;=Assumptions!$F187),Assumptions!$B187/12,0),IF(AND('Cash flow forecast'!O$5&gt;=Assumptions!$E187,'Cash flow forecast'!O$5&lt;=Assumptions!$F187),Assumptions!$C187*Assumptions!$D187,0)),"")</f>
        <v/>
      </c>
      <c r="P207" s="222" t="str">
        <f>IFERROR(IF(INDEX(Assumptions!$G$177:$G$197,MATCH('Cash flow forecast'!$B207,Assumptions!$A$177:$A$197,0))="Salary",IF(AND('Cash flow forecast'!P$5&gt;=Assumptions!$E187,'Cash flow forecast'!P$5&lt;=Assumptions!$F187),Assumptions!$B187/12,0),IF(AND('Cash flow forecast'!P$5&gt;=Assumptions!$E187,'Cash flow forecast'!P$5&lt;=Assumptions!$F187),Assumptions!$C187*Assumptions!$D187,0)),"")</f>
        <v/>
      </c>
      <c r="Q207" s="222" t="str">
        <f>IFERROR(IF(INDEX(Assumptions!$G$177:$G$197,MATCH('Cash flow forecast'!$B207,Assumptions!$A$177:$A$197,0))="Salary",IF(AND('Cash flow forecast'!Q$5&gt;=Assumptions!$E187,'Cash flow forecast'!Q$5&lt;=Assumptions!$F187),Assumptions!$B187/12,0),IF(AND('Cash flow forecast'!Q$5&gt;=Assumptions!$E187,'Cash flow forecast'!Q$5&lt;=Assumptions!$F187),Assumptions!$C187*Assumptions!$D187,0)),"")</f>
        <v/>
      </c>
      <c r="R207" s="222" t="str">
        <f>IFERROR(IF(INDEX(Assumptions!$G$177:$G$197,MATCH('Cash flow forecast'!$B207,Assumptions!$A$177:$A$197,0))="Salary",IF(AND('Cash flow forecast'!R$5&gt;=Assumptions!$E187,'Cash flow forecast'!R$5&lt;=Assumptions!$F187),Assumptions!$B187/12,0),IF(AND('Cash flow forecast'!R$5&gt;=Assumptions!$E187,'Cash flow forecast'!R$5&lt;=Assumptions!$F187),Assumptions!$C187*Assumptions!$D187,0)),"")</f>
        <v/>
      </c>
      <c r="S207" s="222" t="str">
        <f>IFERROR(IF(INDEX(Assumptions!$G$177:$G$197,MATCH('Cash flow forecast'!$B207,Assumptions!$A$177:$A$197,0))="Salary",IF(AND('Cash flow forecast'!S$5&gt;=Assumptions!$E187,'Cash flow forecast'!S$5&lt;=Assumptions!$F187),Assumptions!$B187/12,0),IF(AND('Cash flow forecast'!S$5&gt;=Assumptions!$E187,'Cash flow forecast'!S$5&lt;=Assumptions!$F187),Assumptions!$C187*Assumptions!$D187,0)),"")</f>
        <v/>
      </c>
      <c r="T207" s="222" t="str">
        <f>IFERROR(IF(INDEX(Assumptions!$G$177:$G$197,MATCH('Cash flow forecast'!$B207,Assumptions!$A$177:$A$197,0))="Salary",IF(AND('Cash flow forecast'!T$5&gt;=Assumptions!$E187,'Cash flow forecast'!T$5&lt;=Assumptions!$F187),Assumptions!$B187/12,0),IF(AND('Cash flow forecast'!T$5&gt;=Assumptions!$E187,'Cash flow forecast'!T$5&lt;=Assumptions!$F187),Assumptions!$C187*Assumptions!$D187,0)),"")</f>
        <v/>
      </c>
      <c r="U207" s="222" t="str">
        <f>IFERROR(IF(INDEX(Assumptions!$G$177:$G$197,MATCH('Cash flow forecast'!$B207,Assumptions!$A$177:$A$197,0))="Salary",IF(AND('Cash flow forecast'!U$5&gt;=Assumptions!$E187,'Cash flow forecast'!U$5&lt;=Assumptions!$F187),Assumptions!$B187/12,0),IF(AND('Cash flow forecast'!U$5&gt;=Assumptions!$E187,'Cash flow forecast'!U$5&lt;=Assumptions!$F187),Assumptions!$C187*Assumptions!$D187,0)),"")</f>
        <v/>
      </c>
      <c r="V207" s="222" t="str">
        <f>IFERROR(IF(INDEX(Assumptions!$G$177:$G$197,MATCH('Cash flow forecast'!$B207,Assumptions!$A$177:$A$197,0))="Salary",IF(AND('Cash flow forecast'!V$5&gt;=Assumptions!$E187,'Cash flow forecast'!V$5&lt;=Assumptions!$F187),Assumptions!$B187/12,0),IF(AND('Cash flow forecast'!V$5&gt;=Assumptions!$E187,'Cash flow forecast'!V$5&lt;=Assumptions!$F187),Assumptions!$C187*Assumptions!$D187,0)),"")</f>
        <v/>
      </c>
      <c r="W207" s="222" t="str">
        <f>IFERROR(IF(INDEX(Assumptions!$G$177:$G$197,MATCH('Cash flow forecast'!$B207,Assumptions!$A$177:$A$197,0))="Salary",IF(AND('Cash flow forecast'!W$5&gt;=Assumptions!$E187,'Cash flow forecast'!W$5&lt;=Assumptions!$F187),Assumptions!$B187/12,0),IF(AND('Cash flow forecast'!W$5&gt;=Assumptions!$E187,'Cash flow forecast'!W$5&lt;=Assumptions!$F187),Assumptions!$C187*Assumptions!$D187,0)),"")</f>
        <v/>
      </c>
      <c r="X207" s="222" t="str">
        <f>IFERROR(IF(INDEX(Assumptions!$G$177:$G$197,MATCH('Cash flow forecast'!$B207,Assumptions!$A$177:$A$197,0))="Salary",IF(AND('Cash flow forecast'!X$5&gt;=Assumptions!$E187,'Cash flow forecast'!X$5&lt;=Assumptions!$F187),Assumptions!$B187/12,0),IF(AND('Cash flow forecast'!X$5&gt;=Assumptions!$E187,'Cash flow forecast'!X$5&lt;=Assumptions!$F187),Assumptions!$C187*Assumptions!$D187,0)),"")</f>
        <v/>
      </c>
      <c r="Y207" s="222" t="str">
        <f>IFERROR(IF(INDEX(Assumptions!$G$177:$G$197,MATCH('Cash flow forecast'!$B207,Assumptions!$A$177:$A$197,0))="Salary",IF(AND('Cash flow forecast'!Y$5&gt;=Assumptions!$E187,'Cash flow forecast'!Y$5&lt;=Assumptions!$F187),Assumptions!$B187/12,0),IF(AND('Cash flow forecast'!Y$5&gt;=Assumptions!$E187,'Cash flow forecast'!Y$5&lt;=Assumptions!$F187),Assumptions!$C187*Assumptions!$D187,0)),"")</f>
        <v/>
      </c>
      <c r="Z207" s="223" t="str">
        <f>IFERROR(IF(INDEX(Assumptions!$G$177:$G$197,MATCH('Cash flow forecast'!$B207,Assumptions!$A$177:$A$197,0))="Salary",IF(AND('Cash flow forecast'!Z$5&gt;=Assumptions!$E187,'Cash flow forecast'!Z$5&lt;=Assumptions!$F187),Assumptions!$B187/12,0),IF(AND('Cash flow forecast'!Z$5&gt;=Assumptions!$E187,'Cash flow forecast'!Z$5&lt;=Assumptions!$F187),Assumptions!$C187*Assumptions!$D187,0)),"")</f>
        <v/>
      </c>
      <c r="AA207" s="221">
        <f t="shared" si="185"/>
        <v>0</v>
      </c>
      <c r="AB207" s="224">
        <f t="shared" si="185"/>
        <v>0</v>
      </c>
      <c r="AC207" s="224">
        <f t="shared" si="185"/>
        <v>0</v>
      </c>
      <c r="AD207" s="223">
        <f t="shared" si="185"/>
        <v>0</v>
      </c>
      <c r="AE207" s="225">
        <f t="shared" si="186"/>
        <v>0</v>
      </c>
      <c r="AF207" s="221">
        <f t="shared" si="188"/>
        <v>0</v>
      </c>
      <c r="AG207" s="224">
        <f t="shared" si="187"/>
        <v>0</v>
      </c>
      <c r="AH207" s="224">
        <f t="shared" si="187"/>
        <v>0</v>
      </c>
      <c r="AI207" s="223">
        <f t="shared" si="187"/>
        <v>0</v>
      </c>
      <c r="AJ207" s="225">
        <f t="shared" si="189"/>
        <v>0</v>
      </c>
      <c r="AK207" s="243">
        <f t="shared" si="182"/>
        <v>0</v>
      </c>
    </row>
    <row r="208" spans="2:37" ht="22.15" hidden="1" customHeight="1" outlineLevel="1" x14ac:dyDescent="0.25">
      <c r="B208" s="91" t="str">
        <f>IF(Assumptions!$A188="","",Assumptions!$A188)</f>
        <v/>
      </c>
      <c r="C208" s="221" t="str">
        <f>IFERROR(IF(INDEX(Assumptions!$G$177:$G$197,MATCH('Cash flow forecast'!$B208,Assumptions!$A$177:$A$197,0))="Salary",IF(AND('Cash flow forecast'!C$5&gt;=Assumptions!$E188,'Cash flow forecast'!C$5&lt;=Assumptions!$F188),Assumptions!$B188/12,0),IF(AND('Cash flow forecast'!C$5&gt;=Assumptions!$E188,'Cash flow forecast'!C$5&lt;=Assumptions!$F188),Assumptions!$C188*Assumptions!$D188,0)),"")</f>
        <v/>
      </c>
      <c r="D208" s="222" t="str">
        <f>IFERROR(IF(INDEX(Assumptions!$G$177:$G$197,MATCH('Cash flow forecast'!$B208,Assumptions!$A$177:$A$197,0))="Salary",IF(AND('Cash flow forecast'!D$5&gt;=Assumptions!$E188,'Cash flow forecast'!D$5&lt;=Assumptions!$F188),Assumptions!$B188/12,0),IF(AND('Cash flow forecast'!D$5&gt;=Assumptions!$E188,'Cash flow forecast'!D$5&lt;=Assumptions!$F188),Assumptions!$C188*Assumptions!$D188,0)),"")</f>
        <v/>
      </c>
      <c r="E208" s="222" t="str">
        <f>IFERROR(IF(INDEX(Assumptions!$G$177:$G$197,MATCH('Cash flow forecast'!$B208,Assumptions!$A$177:$A$197,0))="Salary",IF(AND('Cash flow forecast'!E$5&gt;=Assumptions!$E188,'Cash flow forecast'!E$5&lt;=Assumptions!$F188),Assumptions!$B188/12,0),IF(AND('Cash flow forecast'!E$5&gt;=Assumptions!$E188,'Cash flow forecast'!E$5&lt;=Assumptions!$F188),Assumptions!$C188*Assumptions!$D188,0)),"")</f>
        <v/>
      </c>
      <c r="F208" s="222" t="str">
        <f>IFERROR(IF(INDEX(Assumptions!$G$177:$G$197,MATCH('Cash flow forecast'!$B208,Assumptions!$A$177:$A$197,0))="Salary",IF(AND('Cash flow forecast'!F$5&gt;=Assumptions!$E188,'Cash flow forecast'!F$5&lt;=Assumptions!$F188),Assumptions!$B188/12,0),IF(AND('Cash flow forecast'!F$5&gt;=Assumptions!$E188,'Cash flow forecast'!F$5&lt;=Assumptions!$F188),Assumptions!$C188*Assumptions!$D188,0)),"")</f>
        <v/>
      </c>
      <c r="G208" s="222" t="str">
        <f>IFERROR(IF(INDEX(Assumptions!$G$177:$G$197,MATCH('Cash flow forecast'!$B208,Assumptions!$A$177:$A$197,0))="Salary",IF(AND('Cash flow forecast'!G$5&gt;=Assumptions!$E188,'Cash flow forecast'!G$5&lt;=Assumptions!$F188),Assumptions!$B188/12,0),IF(AND('Cash flow forecast'!G$5&gt;=Assumptions!$E188,'Cash flow forecast'!G$5&lt;=Assumptions!$F188),Assumptions!$C188*Assumptions!$D188,0)),"")</f>
        <v/>
      </c>
      <c r="H208" s="222" t="str">
        <f>IFERROR(IF(INDEX(Assumptions!$G$177:$G$197,MATCH('Cash flow forecast'!$B208,Assumptions!$A$177:$A$197,0))="Salary",IF(AND('Cash flow forecast'!H$5&gt;=Assumptions!$E188,'Cash flow forecast'!H$5&lt;=Assumptions!$F188),Assumptions!$B188/12,0),IF(AND('Cash flow forecast'!H$5&gt;=Assumptions!$E188,'Cash flow forecast'!H$5&lt;=Assumptions!$F188),Assumptions!$C188*Assumptions!$D188,0)),"")</f>
        <v/>
      </c>
      <c r="I208" s="222" t="str">
        <f>IFERROR(IF(INDEX(Assumptions!$G$177:$G$197,MATCH('Cash flow forecast'!$B208,Assumptions!$A$177:$A$197,0))="Salary",IF(AND('Cash flow forecast'!I$5&gt;=Assumptions!$E188,'Cash flow forecast'!I$5&lt;=Assumptions!$F188),Assumptions!$B188/12,0),IF(AND('Cash flow forecast'!I$5&gt;=Assumptions!$E188,'Cash flow forecast'!I$5&lt;=Assumptions!$F188),Assumptions!$C188*Assumptions!$D188,0)),"")</f>
        <v/>
      </c>
      <c r="J208" s="222" t="str">
        <f>IFERROR(IF(INDEX(Assumptions!$G$177:$G$197,MATCH('Cash flow forecast'!$B208,Assumptions!$A$177:$A$197,0))="Salary",IF(AND('Cash flow forecast'!J$5&gt;=Assumptions!$E188,'Cash flow forecast'!J$5&lt;=Assumptions!$F188),Assumptions!$B188/12,0),IF(AND('Cash flow forecast'!J$5&gt;=Assumptions!$E188,'Cash flow forecast'!J$5&lt;=Assumptions!$F188),Assumptions!$C188*Assumptions!$D188,0)),"")</f>
        <v/>
      </c>
      <c r="K208" s="222" t="str">
        <f>IFERROR(IF(INDEX(Assumptions!$G$177:$G$197,MATCH('Cash flow forecast'!$B208,Assumptions!$A$177:$A$197,0))="Salary",IF(AND('Cash flow forecast'!K$5&gt;=Assumptions!$E188,'Cash flow forecast'!K$5&lt;=Assumptions!$F188),Assumptions!$B188/12,0),IF(AND('Cash flow forecast'!K$5&gt;=Assumptions!$E188,'Cash flow forecast'!K$5&lt;=Assumptions!$F188),Assumptions!$C188*Assumptions!$D188,0)),"")</f>
        <v/>
      </c>
      <c r="L208" s="222" t="str">
        <f>IFERROR(IF(INDEX(Assumptions!$G$177:$G$197,MATCH('Cash flow forecast'!$B208,Assumptions!$A$177:$A$197,0))="Salary",IF(AND('Cash flow forecast'!L$5&gt;=Assumptions!$E188,'Cash flow forecast'!L$5&lt;=Assumptions!$F188),Assumptions!$B188/12,0),IF(AND('Cash flow forecast'!L$5&gt;=Assumptions!$E188,'Cash flow forecast'!L$5&lt;=Assumptions!$F188),Assumptions!$C188*Assumptions!$D188,0)),"")</f>
        <v/>
      </c>
      <c r="M208" s="222" t="str">
        <f>IFERROR(IF(INDEX(Assumptions!$G$177:$G$197,MATCH('Cash flow forecast'!$B208,Assumptions!$A$177:$A$197,0))="Salary",IF(AND('Cash flow forecast'!M$5&gt;=Assumptions!$E188,'Cash flow forecast'!M$5&lt;=Assumptions!$F188),Assumptions!$B188/12,0),IF(AND('Cash flow forecast'!M$5&gt;=Assumptions!$E188,'Cash flow forecast'!M$5&lt;=Assumptions!$F188),Assumptions!$C188*Assumptions!$D188,0)),"")</f>
        <v/>
      </c>
      <c r="N208" s="223" t="str">
        <f>IFERROR(IF(INDEX(Assumptions!$G$177:$G$197,MATCH('Cash flow forecast'!$B208,Assumptions!$A$177:$A$197,0))="Salary",IF(AND('Cash flow forecast'!N$5&gt;=Assumptions!$E188,'Cash flow forecast'!N$5&lt;=Assumptions!$F188),Assumptions!$B188/12,0),IF(AND('Cash flow forecast'!N$5&gt;=Assumptions!$E188,'Cash flow forecast'!N$5&lt;=Assumptions!$F188),Assumptions!$C188*Assumptions!$D188,0)),"")</f>
        <v/>
      </c>
      <c r="O208" s="221" t="str">
        <f>IFERROR(IF(INDEX(Assumptions!$G$177:$G$197,MATCH('Cash flow forecast'!$B208,Assumptions!$A$177:$A$197,0))="Salary",IF(AND('Cash flow forecast'!O$5&gt;=Assumptions!$E188,'Cash flow forecast'!O$5&lt;=Assumptions!$F188),Assumptions!$B188/12,0),IF(AND('Cash flow forecast'!O$5&gt;=Assumptions!$E188,'Cash flow forecast'!O$5&lt;=Assumptions!$F188),Assumptions!$C188*Assumptions!$D188,0)),"")</f>
        <v/>
      </c>
      <c r="P208" s="222" t="str">
        <f>IFERROR(IF(INDEX(Assumptions!$G$177:$G$197,MATCH('Cash flow forecast'!$B208,Assumptions!$A$177:$A$197,0))="Salary",IF(AND('Cash flow forecast'!P$5&gt;=Assumptions!$E188,'Cash flow forecast'!P$5&lt;=Assumptions!$F188),Assumptions!$B188/12,0),IF(AND('Cash flow forecast'!P$5&gt;=Assumptions!$E188,'Cash flow forecast'!P$5&lt;=Assumptions!$F188),Assumptions!$C188*Assumptions!$D188,0)),"")</f>
        <v/>
      </c>
      <c r="Q208" s="222" t="str">
        <f>IFERROR(IF(INDEX(Assumptions!$G$177:$G$197,MATCH('Cash flow forecast'!$B208,Assumptions!$A$177:$A$197,0))="Salary",IF(AND('Cash flow forecast'!Q$5&gt;=Assumptions!$E188,'Cash flow forecast'!Q$5&lt;=Assumptions!$F188),Assumptions!$B188/12,0),IF(AND('Cash flow forecast'!Q$5&gt;=Assumptions!$E188,'Cash flow forecast'!Q$5&lt;=Assumptions!$F188),Assumptions!$C188*Assumptions!$D188,0)),"")</f>
        <v/>
      </c>
      <c r="R208" s="222" t="str">
        <f>IFERROR(IF(INDEX(Assumptions!$G$177:$G$197,MATCH('Cash flow forecast'!$B208,Assumptions!$A$177:$A$197,0))="Salary",IF(AND('Cash flow forecast'!R$5&gt;=Assumptions!$E188,'Cash flow forecast'!R$5&lt;=Assumptions!$F188),Assumptions!$B188/12,0),IF(AND('Cash flow forecast'!R$5&gt;=Assumptions!$E188,'Cash flow forecast'!R$5&lt;=Assumptions!$F188),Assumptions!$C188*Assumptions!$D188,0)),"")</f>
        <v/>
      </c>
      <c r="S208" s="222" t="str">
        <f>IFERROR(IF(INDEX(Assumptions!$G$177:$G$197,MATCH('Cash flow forecast'!$B208,Assumptions!$A$177:$A$197,0))="Salary",IF(AND('Cash flow forecast'!S$5&gt;=Assumptions!$E188,'Cash flow forecast'!S$5&lt;=Assumptions!$F188),Assumptions!$B188/12,0),IF(AND('Cash flow forecast'!S$5&gt;=Assumptions!$E188,'Cash flow forecast'!S$5&lt;=Assumptions!$F188),Assumptions!$C188*Assumptions!$D188,0)),"")</f>
        <v/>
      </c>
      <c r="T208" s="222" t="str">
        <f>IFERROR(IF(INDEX(Assumptions!$G$177:$G$197,MATCH('Cash flow forecast'!$B208,Assumptions!$A$177:$A$197,0))="Salary",IF(AND('Cash flow forecast'!T$5&gt;=Assumptions!$E188,'Cash flow forecast'!T$5&lt;=Assumptions!$F188),Assumptions!$B188/12,0),IF(AND('Cash flow forecast'!T$5&gt;=Assumptions!$E188,'Cash flow forecast'!T$5&lt;=Assumptions!$F188),Assumptions!$C188*Assumptions!$D188,0)),"")</f>
        <v/>
      </c>
      <c r="U208" s="222" t="str">
        <f>IFERROR(IF(INDEX(Assumptions!$G$177:$G$197,MATCH('Cash flow forecast'!$B208,Assumptions!$A$177:$A$197,0))="Salary",IF(AND('Cash flow forecast'!U$5&gt;=Assumptions!$E188,'Cash flow forecast'!U$5&lt;=Assumptions!$F188),Assumptions!$B188/12,0),IF(AND('Cash flow forecast'!U$5&gt;=Assumptions!$E188,'Cash flow forecast'!U$5&lt;=Assumptions!$F188),Assumptions!$C188*Assumptions!$D188,0)),"")</f>
        <v/>
      </c>
      <c r="V208" s="222" t="str">
        <f>IFERROR(IF(INDEX(Assumptions!$G$177:$G$197,MATCH('Cash flow forecast'!$B208,Assumptions!$A$177:$A$197,0))="Salary",IF(AND('Cash flow forecast'!V$5&gt;=Assumptions!$E188,'Cash flow forecast'!V$5&lt;=Assumptions!$F188),Assumptions!$B188/12,0),IF(AND('Cash flow forecast'!V$5&gt;=Assumptions!$E188,'Cash flow forecast'!V$5&lt;=Assumptions!$F188),Assumptions!$C188*Assumptions!$D188,0)),"")</f>
        <v/>
      </c>
      <c r="W208" s="222" t="str">
        <f>IFERROR(IF(INDEX(Assumptions!$G$177:$G$197,MATCH('Cash flow forecast'!$B208,Assumptions!$A$177:$A$197,0))="Salary",IF(AND('Cash flow forecast'!W$5&gt;=Assumptions!$E188,'Cash flow forecast'!W$5&lt;=Assumptions!$F188),Assumptions!$B188/12,0),IF(AND('Cash flow forecast'!W$5&gt;=Assumptions!$E188,'Cash flow forecast'!W$5&lt;=Assumptions!$F188),Assumptions!$C188*Assumptions!$D188,0)),"")</f>
        <v/>
      </c>
      <c r="X208" s="222" t="str">
        <f>IFERROR(IF(INDEX(Assumptions!$G$177:$G$197,MATCH('Cash flow forecast'!$B208,Assumptions!$A$177:$A$197,0))="Salary",IF(AND('Cash flow forecast'!X$5&gt;=Assumptions!$E188,'Cash flow forecast'!X$5&lt;=Assumptions!$F188),Assumptions!$B188/12,0),IF(AND('Cash flow forecast'!X$5&gt;=Assumptions!$E188,'Cash flow forecast'!X$5&lt;=Assumptions!$F188),Assumptions!$C188*Assumptions!$D188,0)),"")</f>
        <v/>
      </c>
      <c r="Y208" s="222" t="str">
        <f>IFERROR(IF(INDEX(Assumptions!$G$177:$G$197,MATCH('Cash flow forecast'!$B208,Assumptions!$A$177:$A$197,0))="Salary",IF(AND('Cash flow forecast'!Y$5&gt;=Assumptions!$E188,'Cash flow forecast'!Y$5&lt;=Assumptions!$F188),Assumptions!$B188/12,0),IF(AND('Cash flow forecast'!Y$5&gt;=Assumptions!$E188,'Cash flow forecast'!Y$5&lt;=Assumptions!$F188),Assumptions!$C188*Assumptions!$D188,0)),"")</f>
        <v/>
      </c>
      <c r="Z208" s="223" t="str">
        <f>IFERROR(IF(INDEX(Assumptions!$G$177:$G$197,MATCH('Cash flow forecast'!$B208,Assumptions!$A$177:$A$197,0))="Salary",IF(AND('Cash flow forecast'!Z$5&gt;=Assumptions!$E188,'Cash flow forecast'!Z$5&lt;=Assumptions!$F188),Assumptions!$B188/12,0),IF(AND('Cash flow forecast'!Z$5&gt;=Assumptions!$E188,'Cash flow forecast'!Z$5&lt;=Assumptions!$F188),Assumptions!$C188*Assumptions!$D188,0)),"")</f>
        <v/>
      </c>
      <c r="AA208" s="221">
        <f t="shared" si="185"/>
        <v>0</v>
      </c>
      <c r="AB208" s="224">
        <f t="shared" si="185"/>
        <v>0</v>
      </c>
      <c r="AC208" s="224">
        <f t="shared" si="185"/>
        <v>0</v>
      </c>
      <c r="AD208" s="223">
        <f t="shared" si="185"/>
        <v>0</v>
      </c>
      <c r="AE208" s="225">
        <f t="shared" si="186"/>
        <v>0</v>
      </c>
      <c r="AF208" s="221">
        <f t="shared" si="188"/>
        <v>0</v>
      </c>
      <c r="AG208" s="224">
        <f t="shared" si="187"/>
        <v>0</v>
      </c>
      <c r="AH208" s="224">
        <f t="shared" si="187"/>
        <v>0</v>
      </c>
      <c r="AI208" s="223">
        <f t="shared" si="187"/>
        <v>0</v>
      </c>
      <c r="AJ208" s="225">
        <f t="shared" si="189"/>
        <v>0</v>
      </c>
      <c r="AK208" s="243">
        <f t="shared" si="182"/>
        <v>0</v>
      </c>
    </row>
    <row r="209" spans="2:37" ht="22.15" hidden="1" customHeight="1" outlineLevel="1" x14ac:dyDescent="0.25">
      <c r="B209" s="91" t="str">
        <f>IF(Assumptions!$A189="","",Assumptions!$A189)</f>
        <v/>
      </c>
      <c r="C209" s="221" t="str">
        <f>IFERROR(IF(INDEX(Assumptions!$G$177:$G$197,MATCH('Cash flow forecast'!$B209,Assumptions!$A$177:$A$197,0))="Salary",IF(AND('Cash flow forecast'!C$5&gt;=Assumptions!$E189,'Cash flow forecast'!C$5&lt;=Assumptions!$F189),Assumptions!$B189/12,0),IF(AND('Cash flow forecast'!C$5&gt;=Assumptions!$E189,'Cash flow forecast'!C$5&lt;=Assumptions!$F189),Assumptions!$C189*Assumptions!$D189,0)),"")</f>
        <v/>
      </c>
      <c r="D209" s="222" t="str">
        <f>IFERROR(IF(INDEX(Assumptions!$G$177:$G$197,MATCH('Cash flow forecast'!$B209,Assumptions!$A$177:$A$197,0))="Salary",IF(AND('Cash flow forecast'!D$5&gt;=Assumptions!$E189,'Cash flow forecast'!D$5&lt;=Assumptions!$F189),Assumptions!$B189/12,0),IF(AND('Cash flow forecast'!D$5&gt;=Assumptions!$E189,'Cash flow forecast'!D$5&lt;=Assumptions!$F189),Assumptions!$C189*Assumptions!$D189,0)),"")</f>
        <v/>
      </c>
      <c r="E209" s="222" t="str">
        <f>IFERROR(IF(INDEX(Assumptions!$G$177:$G$197,MATCH('Cash flow forecast'!$B209,Assumptions!$A$177:$A$197,0))="Salary",IF(AND('Cash flow forecast'!E$5&gt;=Assumptions!$E189,'Cash flow forecast'!E$5&lt;=Assumptions!$F189),Assumptions!$B189/12,0),IF(AND('Cash flow forecast'!E$5&gt;=Assumptions!$E189,'Cash flow forecast'!E$5&lt;=Assumptions!$F189),Assumptions!$C189*Assumptions!$D189,0)),"")</f>
        <v/>
      </c>
      <c r="F209" s="222" t="str">
        <f>IFERROR(IF(INDEX(Assumptions!$G$177:$G$197,MATCH('Cash flow forecast'!$B209,Assumptions!$A$177:$A$197,0))="Salary",IF(AND('Cash flow forecast'!F$5&gt;=Assumptions!$E189,'Cash flow forecast'!F$5&lt;=Assumptions!$F189),Assumptions!$B189/12,0),IF(AND('Cash flow forecast'!F$5&gt;=Assumptions!$E189,'Cash flow forecast'!F$5&lt;=Assumptions!$F189),Assumptions!$C189*Assumptions!$D189,0)),"")</f>
        <v/>
      </c>
      <c r="G209" s="222" t="str">
        <f>IFERROR(IF(INDEX(Assumptions!$G$177:$G$197,MATCH('Cash flow forecast'!$B209,Assumptions!$A$177:$A$197,0))="Salary",IF(AND('Cash flow forecast'!G$5&gt;=Assumptions!$E189,'Cash flow forecast'!G$5&lt;=Assumptions!$F189),Assumptions!$B189/12,0),IF(AND('Cash flow forecast'!G$5&gt;=Assumptions!$E189,'Cash flow forecast'!G$5&lt;=Assumptions!$F189),Assumptions!$C189*Assumptions!$D189,0)),"")</f>
        <v/>
      </c>
      <c r="H209" s="222" t="str">
        <f>IFERROR(IF(INDEX(Assumptions!$G$177:$G$197,MATCH('Cash flow forecast'!$B209,Assumptions!$A$177:$A$197,0))="Salary",IF(AND('Cash flow forecast'!H$5&gt;=Assumptions!$E189,'Cash flow forecast'!H$5&lt;=Assumptions!$F189),Assumptions!$B189/12,0),IF(AND('Cash flow forecast'!H$5&gt;=Assumptions!$E189,'Cash flow forecast'!H$5&lt;=Assumptions!$F189),Assumptions!$C189*Assumptions!$D189,0)),"")</f>
        <v/>
      </c>
      <c r="I209" s="222" t="str">
        <f>IFERROR(IF(INDEX(Assumptions!$G$177:$G$197,MATCH('Cash flow forecast'!$B209,Assumptions!$A$177:$A$197,0))="Salary",IF(AND('Cash flow forecast'!I$5&gt;=Assumptions!$E189,'Cash flow forecast'!I$5&lt;=Assumptions!$F189),Assumptions!$B189/12,0),IF(AND('Cash flow forecast'!I$5&gt;=Assumptions!$E189,'Cash flow forecast'!I$5&lt;=Assumptions!$F189),Assumptions!$C189*Assumptions!$D189,0)),"")</f>
        <v/>
      </c>
      <c r="J209" s="222" t="str">
        <f>IFERROR(IF(INDEX(Assumptions!$G$177:$G$197,MATCH('Cash flow forecast'!$B209,Assumptions!$A$177:$A$197,0))="Salary",IF(AND('Cash flow forecast'!J$5&gt;=Assumptions!$E189,'Cash flow forecast'!J$5&lt;=Assumptions!$F189),Assumptions!$B189/12,0),IF(AND('Cash flow forecast'!J$5&gt;=Assumptions!$E189,'Cash flow forecast'!J$5&lt;=Assumptions!$F189),Assumptions!$C189*Assumptions!$D189,0)),"")</f>
        <v/>
      </c>
      <c r="K209" s="222" t="str">
        <f>IFERROR(IF(INDEX(Assumptions!$G$177:$G$197,MATCH('Cash flow forecast'!$B209,Assumptions!$A$177:$A$197,0))="Salary",IF(AND('Cash flow forecast'!K$5&gt;=Assumptions!$E189,'Cash flow forecast'!K$5&lt;=Assumptions!$F189),Assumptions!$B189/12,0),IF(AND('Cash flow forecast'!K$5&gt;=Assumptions!$E189,'Cash flow forecast'!K$5&lt;=Assumptions!$F189),Assumptions!$C189*Assumptions!$D189,0)),"")</f>
        <v/>
      </c>
      <c r="L209" s="222" t="str">
        <f>IFERROR(IF(INDEX(Assumptions!$G$177:$G$197,MATCH('Cash flow forecast'!$B209,Assumptions!$A$177:$A$197,0))="Salary",IF(AND('Cash flow forecast'!L$5&gt;=Assumptions!$E189,'Cash flow forecast'!L$5&lt;=Assumptions!$F189),Assumptions!$B189/12,0),IF(AND('Cash flow forecast'!L$5&gt;=Assumptions!$E189,'Cash flow forecast'!L$5&lt;=Assumptions!$F189),Assumptions!$C189*Assumptions!$D189,0)),"")</f>
        <v/>
      </c>
      <c r="M209" s="222" t="str">
        <f>IFERROR(IF(INDEX(Assumptions!$G$177:$G$197,MATCH('Cash flow forecast'!$B209,Assumptions!$A$177:$A$197,0))="Salary",IF(AND('Cash flow forecast'!M$5&gt;=Assumptions!$E189,'Cash flow forecast'!M$5&lt;=Assumptions!$F189),Assumptions!$B189/12,0),IF(AND('Cash flow forecast'!M$5&gt;=Assumptions!$E189,'Cash flow forecast'!M$5&lt;=Assumptions!$F189),Assumptions!$C189*Assumptions!$D189,0)),"")</f>
        <v/>
      </c>
      <c r="N209" s="223" t="str">
        <f>IFERROR(IF(INDEX(Assumptions!$G$177:$G$197,MATCH('Cash flow forecast'!$B209,Assumptions!$A$177:$A$197,0))="Salary",IF(AND('Cash flow forecast'!N$5&gt;=Assumptions!$E189,'Cash flow forecast'!N$5&lt;=Assumptions!$F189),Assumptions!$B189/12,0),IF(AND('Cash flow forecast'!N$5&gt;=Assumptions!$E189,'Cash flow forecast'!N$5&lt;=Assumptions!$F189),Assumptions!$C189*Assumptions!$D189,0)),"")</f>
        <v/>
      </c>
      <c r="O209" s="221" t="str">
        <f>IFERROR(IF(INDEX(Assumptions!$G$177:$G$197,MATCH('Cash flow forecast'!$B209,Assumptions!$A$177:$A$197,0))="Salary",IF(AND('Cash flow forecast'!O$5&gt;=Assumptions!$E189,'Cash flow forecast'!O$5&lt;=Assumptions!$F189),Assumptions!$B189/12,0),IF(AND('Cash flow forecast'!O$5&gt;=Assumptions!$E189,'Cash flow forecast'!O$5&lt;=Assumptions!$F189),Assumptions!$C189*Assumptions!$D189,0)),"")</f>
        <v/>
      </c>
      <c r="P209" s="222" t="str">
        <f>IFERROR(IF(INDEX(Assumptions!$G$177:$G$197,MATCH('Cash flow forecast'!$B209,Assumptions!$A$177:$A$197,0))="Salary",IF(AND('Cash flow forecast'!P$5&gt;=Assumptions!$E189,'Cash flow forecast'!P$5&lt;=Assumptions!$F189),Assumptions!$B189/12,0),IF(AND('Cash flow forecast'!P$5&gt;=Assumptions!$E189,'Cash flow forecast'!P$5&lt;=Assumptions!$F189),Assumptions!$C189*Assumptions!$D189,0)),"")</f>
        <v/>
      </c>
      <c r="Q209" s="222" t="str">
        <f>IFERROR(IF(INDEX(Assumptions!$G$177:$G$197,MATCH('Cash flow forecast'!$B209,Assumptions!$A$177:$A$197,0))="Salary",IF(AND('Cash flow forecast'!Q$5&gt;=Assumptions!$E189,'Cash flow forecast'!Q$5&lt;=Assumptions!$F189),Assumptions!$B189/12,0),IF(AND('Cash flow forecast'!Q$5&gt;=Assumptions!$E189,'Cash flow forecast'!Q$5&lt;=Assumptions!$F189),Assumptions!$C189*Assumptions!$D189,0)),"")</f>
        <v/>
      </c>
      <c r="R209" s="222" t="str">
        <f>IFERROR(IF(INDEX(Assumptions!$G$177:$G$197,MATCH('Cash flow forecast'!$B209,Assumptions!$A$177:$A$197,0))="Salary",IF(AND('Cash flow forecast'!R$5&gt;=Assumptions!$E189,'Cash flow forecast'!R$5&lt;=Assumptions!$F189),Assumptions!$B189/12,0),IF(AND('Cash flow forecast'!R$5&gt;=Assumptions!$E189,'Cash flow forecast'!R$5&lt;=Assumptions!$F189),Assumptions!$C189*Assumptions!$D189,0)),"")</f>
        <v/>
      </c>
      <c r="S209" s="222" t="str">
        <f>IFERROR(IF(INDEX(Assumptions!$G$177:$G$197,MATCH('Cash flow forecast'!$B209,Assumptions!$A$177:$A$197,0))="Salary",IF(AND('Cash flow forecast'!S$5&gt;=Assumptions!$E189,'Cash flow forecast'!S$5&lt;=Assumptions!$F189),Assumptions!$B189/12,0),IF(AND('Cash flow forecast'!S$5&gt;=Assumptions!$E189,'Cash flow forecast'!S$5&lt;=Assumptions!$F189),Assumptions!$C189*Assumptions!$D189,0)),"")</f>
        <v/>
      </c>
      <c r="T209" s="222" t="str">
        <f>IFERROR(IF(INDEX(Assumptions!$G$177:$G$197,MATCH('Cash flow forecast'!$B209,Assumptions!$A$177:$A$197,0))="Salary",IF(AND('Cash flow forecast'!T$5&gt;=Assumptions!$E189,'Cash flow forecast'!T$5&lt;=Assumptions!$F189),Assumptions!$B189/12,0),IF(AND('Cash flow forecast'!T$5&gt;=Assumptions!$E189,'Cash flow forecast'!T$5&lt;=Assumptions!$F189),Assumptions!$C189*Assumptions!$D189,0)),"")</f>
        <v/>
      </c>
      <c r="U209" s="222" t="str">
        <f>IFERROR(IF(INDEX(Assumptions!$G$177:$G$197,MATCH('Cash flow forecast'!$B209,Assumptions!$A$177:$A$197,0))="Salary",IF(AND('Cash flow forecast'!U$5&gt;=Assumptions!$E189,'Cash flow forecast'!U$5&lt;=Assumptions!$F189),Assumptions!$B189/12,0),IF(AND('Cash flow forecast'!U$5&gt;=Assumptions!$E189,'Cash flow forecast'!U$5&lt;=Assumptions!$F189),Assumptions!$C189*Assumptions!$D189,0)),"")</f>
        <v/>
      </c>
      <c r="V209" s="222" t="str">
        <f>IFERROR(IF(INDEX(Assumptions!$G$177:$G$197,MATCH('Cash flow forecast'!$B209,Assumptions!$A$177:$A$197,0))="Salary",IF(AND('Cash flow forecast'!V$5&gt;=Assumptions!$E189,'Cash flow forecast'!V$5&lt;=Assumptions!$F189),Assumptions!$B189/12,0),IF(AND('Cash flow forecast'!V$5&gt;=Assumptions!$E189,'Cash flow forecast'!V$5&lt;=Assumptions!$F189),Assumptions!$C189*Assumptions!$D189,0)),"")</f>
        <v/>
      </c>
      <c r="W209" s="222" t="str">
        <f>IFERROR(IF(INDEX(Assumptions!$G$177:$G$197,MATCH('Cash flow forecast'!$B209,Assumptions!$A$177:$A$197,0))="Salary",IF(AND('Cash flow forecast'!W$5&gt;=Assumptions!$E189,'Cash flow forecast'!W$5&lt;=Assumptions!$F189),Assumptions!$B189/12,0),IF(AND('Cash flow forecast'!W$5&gt;=Assumptions!$E189,'Cash flow forecast'!W$5&lt;=Assumptions!$F189),Assumptions!$C189*Assumptions!$D189,0)),"")</f>
        <v/>
      </c>
      <c r="X209" s="222" t="str">
        <f>IFERROR(IF(INDEX(Assumptions!$G$177:$G$197,MATCH('Cash flow forecast'!$B209,Assumptions!$A$177:$A$197,0))="Salary",IF(AND('Cash flow forecast'!X$5&gt;=Assumptions!$E189,'Cash flow forecast'!X$5&lt;=Assumptions!$F189),Assumptions!$B189/12,0),IF(AND('Cash flow forecast'!X$5&gt;=Assumptions!$E189,'Cash flow forecast'!X$5&lt;=Assumptions!$F189),Assumptions!$C189*Assumptions!$D189,0)),"")</f>
        <v/>
      </c>
      <c r="Y209" s="222" t="str">
        <f>IFERROR(IF(INDEX(Assumptions!$G$177:$G$197,MATCH('Cash flow forecast'!$B209,Assumptions!$A$177:$A$197,0))="Salary",IF(AND('Cash flow forecast'!Y$5&gt;=Assumptions!$E189,'Cash flow forecast'!Y$5&lt;=Assumptions!$F189),Assumptions!$B189/12,0),IF(AND('Cash flow forecast'!Y$5&gt;=Assumptions!$E189,'Cash flow forecast'!Y$5&lt;=Assumptions!$F189),Assumptions!$C189*Assumptions!$D189,0)),"")</f>
        <v/>
      </c>
      <c r="Z209" s="223" t="str">
        <f>IFERROR(IF(INDEX(Assumptions!$G$177:$G$197,MATCH('Cash flow forecast'!$B209,Assumptions!$A$177:$A$197,0))="Salary",IF(AND('Cash flow forecast'!Z$5&gt;=Assumptions!$E189,'Cash flow forecast'!Z$5&lt;=Assumptions!$F189),Assumptions!$B189/12,0),IF(AND('Cash flow forecast'!Z$5&gt;=Assumptions!$E189,'Cash flow forecast'!Z$5&lt;=Assumptions!$F189),Assumptions!$C189*Assumptions!$D189,0)),"")</f>
        <v/>
      </c>
      <c r="AA209" s="221">
        <f t="shared" si="185"/>
        <v>0</v>
      </c>
      <c r="AB209" s="224">
        <f t="shared" si="185"/>
        <v>0</v>
      </c>
      <c r="AC209" s="224">
        <f t="shared" si="185"/>
        <v>0</v>
      </c>
      <c r="AD209" s="223">
        <f t="shared" si="185"/>
        <v>0</v>
      </c>
      <c r="AE209" s="225">
        <f t="shared" si="186"/>
        <v>0</v>
      </c>
      <c r="AF209" s="221">
        <f t="shared" si="188"/>
        <v>0</v>
      </c>
      <c r="AG209" s="224">
        <f t="shared" si="187"/>
        <v>0</v>
      </c>
      <c r="AH209" s="224">
        <f t="shared" si="187"/>
        <v>0</v>
      </c>
      <c r="AI209" s="223">
        <f t="shared" si="187"/>
        <v>0</v>
      </c>
      <c r="AJ209" s="225">
        <f t="shared" si="189"/>
        <v>0</v>
      </c>
      <c r="AK209" s="243">
        <f t="shared" si="182"/>
        <v>0</v>
      </c>
    </row>
    <row r="210" spans="2:37" ht="22.15" hidden="1" customHeight="1" outlineLevel="1" x14ac:dyDescent="0.25">
      <c r="B210" s="91" t="str">
        <f>IF(Assumptions!$A190="","",Assumptions!$A190)</f>
        <v/>
      </c>
      <c r="C210" s="221" t="str">
        <f>IFERROR(IF(INDEX(Assumptions!$G$177:$G$197,MATCH('Cash flow forecast'!$B210,Assumptions!$A$177:$A$197,0))="Salary",IF(AND('Cash flow forecast'!C$5&gt;=Assumptions!$E190,'Cash flow forecast'!C$5&lt;=Assumptions!$F190),Assumptions!$B190/12,0),IF(AND('Cash flow forecast'!C$5&gt;=Assumptions!$E190,'Cash flow forecast'!C$5&lt;=Assumptions!$F190),Assumptions!$C190*Assumptions!$D190,0)),"")</f>
        <v/>
      </c>
      <c r="D210" s="222" t="str">
        <f>IFERROR(IF(INDEX(Assumptions!$G$177:$G$197,MATCH('Cash flow forecast'!$B210,Assumptions!$A$177:$A$197,0))="Salary",IF(AND('Cash flow forecast'!D$5&gt;=Assumptions!$E190,'Cash flow forecast'!D$5&lt;=Assumptions!$F190),Assumptions!$B190/12,0),IF(AND('Cash flow forecast'!D$5&gt;=Assumptions!$E190,'Cash flow forecast'!D$5&lt;=Assumptions!$F190),Assumptions!$C190*Assumptions!$D190,0)),"")</f>
        <v/>
      </c>
      <c r="E210" s="222" t="str">
        <f>IFERROR(IF(INDEX(Assumptions!$G$177:$G$197,MATCH('Cash flow forecast'!$B210,Assumptions!$A$177:$A$197,0))="Salary",IF(AND('Cash flow forecast'!E$5&gt;=Assumptions!$E190,'Cash flow forecast'!E$5&lt;=Assumptions!$F190),Assumptions!$B190/12,0),IF(AND('Cash flow forecast'!E$5&gt;=Assumptions!$E190,'Cash flow forecast'!E$5&lt;=Assumptions!$F190),Assumptions!$C190*Assumptions!$D190,0)),"")</f>
        <v/>
      </c>
      <c r="F210" s="222" t="str">
        <f>IFERROR(IF(INDEX(Assumptions!$G$177:$G$197,MATCH('Cash flow forecast'!$B210,Assumptions!$A$177:$A$197,0))="Salary",IF(AND('Cash flow forecast'!F$5&gt;=Assumptions!$E190,'Cash flow forecast'!F$5&lt;=Assumptions!$F190),Assumptions!$B190/12,0),IF(AND('Cash flow forecast'!F$5&gt;=Assumptions!$E190,'Cash flow forecast'!F$5&lt;=Assumptions!$F190),Assumptions!$C190*Assumptions!$D190,0)),"")</f>
        <v/>
      </c>
      <c r="G210" s="222" t="str">
        <f>IFERROR(IF(INDEX(Assumptions!$G$177:$G$197,MATCH('Cash flow forecast'!$B210,Assumptions!$A$177:$A$197,0))="Salary",IF(AND('Cash flow forecast'!G$5&gt;=Assumptions!$E190,'Cash flow forecast'!G$5&lt;=Assumptions!$F190),Assumptions!$B190/12,0),IF(AND('Cash flow forecast'!G$5&gt;=Assumptions!$E190,'Cash flow forecast'!G$5&lt;=Assumptions!$F190),Assumptions!$C190*Assumptions!$D190,0)),"")</f>
        <v/>
      </c>
      <c r="H210" s="222" t="str">
        <f>IFERROR(IF(INDEX(Assumptions!$G$177:$G$197,MATCH('Cash flow forecast'!$B210,Assumptions!$A$177:$A$197,0))="Salary",IF(AND('Cash flow forecast'!H$5&gt;=Assumptions!$E190,'Cash flow forecast'!H$5&lt;=Assumptions!$F190),Assumptions!$B190/12,0),IF(AND('Cash flow forecast'!H$5&gt;=Assumptions!$E190,'Cash flow forecast'!H$5&lt;=Assumptions!$F190),Assumptions!$C190*Assumptions!$D190,0)),"")</f>
        <v/>
      </c>
      <c r="I210" s="222" t="str">
        <f>IFERROR(IF(INDEX(Assumptions!$G$177:$G$197,MATCH('Cash flow forecast'!$B210,Assumptions!$A$177:$A$197,0))="Salary",IF(AND('Cash flow forecast'!I$5&gt;=Assumptions!$E190,'Cash flow forecast'!I$5&lt;=Assumptions!$F190),Assumptions!$B190/12,0),IF(AND('Cash flow forecast'!I$5&gt;=Assumptions!$E190,'Cash flow forecast'!I$5&lt;=Assumptions!$F190),Assumptions!$C190*Assumptions!$D190,0)),"")</f>
        <v/>
      </c>
      <c r="J210" s="222" t="str">
        <f>IFERROR(IF(INDEX(Assumptions!$G$177:$G$197,MATCH('Cash flow forecast'!$B210,Assumptions!$A$177:$A$197,0))="Salary",IF(AND('Cash flow forecast'!J$5&gt;=Assumptions!$E190,'Cash flow forecast'!J$5&lt;=Assumptions!$F190),Assumptions!$B190/12,0),IF(AND('Cash flow forecast'!J$5&gt;=Assumptions!$E190,'Cash flow forecast'!J$5&lt;=Assumptions!$F190),Assumptions!$C190*Assumptions!$D190,0)),"")</f>
        <v/>
      </c>
      <c r="K210" s="222" t="str">
        <f>IFERROR(IF(INDEX(Assumptions!$G$177:$G$197,MATCH('Cash flow forecast'!$B210,Assumptions!$A$177:$A$197,0))="Salary",IF(AND('Cash flow forecast'!K$5&gt;=Assumptions!$E190,'Cash flow forecast'!K$5&lt;=Assumptions!$F190),Assumptions!$B190/12,0),IF(AND('Cash flow forecast'!K$5&gt;=Assumptions!$E190,'Cash flow forecast'!K$5&lt;=Assumptions!$F190),Assumptions!$C190*Assumptions!$D190,0)),"")</f>
        <v/>
      </c>
      <c r="L210" s="222" t="str">
        <f>IFERROR(IF(INDEX(Assumptions!$G$177:$G$197,MATCH('Cash flow forecast'!$B210,Assumptions!$A$177:$A$197,0))="Salary",IF(AND('Cash flow forecast'!L$5&gt;=Assumptions!$E190,'Cash flow forecast'!L$5&lt;=Assumptions!$F190),Assumptions!$B190/12,0),IF(AND('Cash flow forecast'!L$5&gt;=Assumptions!$E190,'Cash flow forecast'!L$5&lt;=Assumptions!$F190),Assumptions!$C190*Assumptions!$D190,0)),"")</f>
        <v/>
      </c>
      <c r="M210" s="222" t="str">
        <f>IFERROR(IF(INDEX(Assumptions!$G$177:$G$197,MATCH('Cash flow forecast'!$B210,Assumptions!$A$177:$A$197,0))="Salary",IF(AND('Cash flow forecast'!M$5&gt;=Assumptions!$E190,'Cash flow forecast'!M$5&lt;=Assumptions!$F190),Assumptions!$B190/12,0),IF(AND('Cash flow forecast'!M$5&gt;=Assumptions!$E190,'Cash flow forecast'!M$5&lt;=Assumptions!$F190),Assumptions!$C190*Assumptions!$D190,0)),"")</f>
        <v/>
      </c>
      <c r="N210" s="223" t="str">
        <f>IFERROR(IF(INDEX(Assumptions!$G$177:$G$197,MATCH('Cash flow forecast'!$B210,Assumptions!$A$177:$A$197,0))="Salary",IF(AND('Cash flow forecast'!N$5&gt;=Assumptions!$E190,'Cash flow forecast'!N$5&lt;=Assumptions!$F190),Assumptions!$B190/12,0),IF(AND('Cash flow forecast'!N$5&gt;=Assumptions!$E190,'Cash flow forecast'!N$5&lt;=Assumptions!$F190),Assumptions!$C190*Assumptions!$D190,0)),"")</f>
        <v/>
      </c>
      <c r="O210" s="221" t="str">
        <f>IFERROR(IF(INDEX(Assumptions!$G$177:$G$197,MATCH('Cash flow forecast'!$B210,Assumptions!$A$177:$A$197,0))="Salary",IF(AND('Cash flow forecast'!O$5&gt;=Assumptions!$E190,'Cash flow forecast'!O$5&lt;=Assumptions!$F190),Assumptions!$B190/12,0),IF(AND('Cash flow forecast'!O$5&gt;=Assumptions!$E190,'Cash flow forecast'!O$5&lt;=Assumptions!$F190),Assumptions!$C190*Assumptions!$D190,0)),"")</f>
        <v/>
      </c>
      <c r="P210" s="222" t="str">
        <f>IFERROR(IF(INDEX(Assumptions!$G$177:$G$197,MATCH('Cash flow forecast'!$B210,Assumptions!$A$177:$A$197,0))="Salary",IF(AND('Cash flow forecast'!P$5&gt;=Assumptions!$E190,'Cash flow forecast'!P$5&lt;=Assumptions!$F190),Assumptions!$B190/12,0),IF(AND('Cash flow forecast'!P$5&gt;=Assumptions!$E190,'Cash flow forecast'!P$5&lt;=Assumptions!$F190),Assumptions!$C190*Assumptions!$D190,0)),"")</f>
        <v/>
      </c>
      <c r="Q210" s="222" t="str">
        <f>IFERROR(IF(INDEX(Assumptions!$G$177:$G$197,MATCH('Cash flow forecast'!$B210,Assumptions!$A$177:$A$197,0))="Salary",IF(AND('Cash flow forecast'!Q$5&gt;=Assumptions!$E190,'Cash flow forecast'!Q$5&lt;=Assumptions!$F190),Assumptions!$B190/12,0),IF(AND('Cash flow forecast'!Q$5&gt;=Assumptions!$E190,'Cash flow forecast'!Q$5&lt;=Assumptions!$F190),Assumptions!$C190*Assumptions!$D190,0)),"")</f>
        <v/>
      </c>
      <c r="R210" s="222" t="str">
        <f>IFERROR(IF(INDEX(Assumptions!$G$177:$G$197,MATCH('Cash flow forecast'!$B210,Assumptions!$A$177:$A$197,0))="Salary",IF(AND('Cash flow forecast'!R$5&gt;=Assumptions!$E190,'Cash flow forecast'!R$5&lt;=Assumptions!$F190),Assumptions!$B190/12,0),IF(AND('Cash flow forecast'!R$5&gt;=Assumptions!$E190,'Cash flow forecast'!R$5&lt;=Assumptions!$F190),Assumptions!$C190*Assumptions!$D190,0)),"")</f>
        <v/>
      </c>
      <c r="S210" s="222" t="str">
        <f>IFERROR(IF(INDEX(Assumptions!$G$177:$G$197,MATCH('Cash flow forecast'!$B210,Assumptions!$A$177:$A$197,0))="Salary",IF(AND('Cash flow forecast'!S$5&gt;=Assumptions!$E190,'Cash flow forecast'!S$5&lt;=Assumptions!$F190),Assumptions!$B190/12,0),IF(AND('Cash flow forecast'!S$5&gt;=Assumptions!$E190,'Cash flow forecast'!S$5&lt;=Assumptions!$F190),Assumptions!$C190*Assumptions!$D190,0)),"")</f>
        <v/>
      </c>
      <c r="T210" s="222" t="str">
        <f>IFERROR(IF(INDEX(Assumptions!$G$177:$G$197,MATCH('Cash flow forecast'!$B210,Assumptions!$A$177:$A$197,0))="Salary",IF(AND('Cash flow forecast'!T$5&gt;=Assumptions!$E190,'Cash flow forecast'!T$5&lt;=Assumptions!$F190),Assumptions!$B190/12,0),IF(AND('Cash flow forecast'!T$5&gt;=Assumptions!$E190,'Cash flow forecast'!T$5&lt;=Assumptions!$F190),Assumptions!$C190*Assumptions!$D190,0)),"")</f>
        <v/>
      </c>
      <c r="U210" s="222" t="str">
        <f>IFERROR(IF(INDEX(Assumptions!$G$177:$G$197,MATCH('Cash flow forecast'!$B210,Assumptions!$A$177:$A$197,0))="Salary",IF(AND('Cash flow forecast'!U$5&gt;=Assumptions!$E190,'Cash flow forecast'!U$5&lt;=Assumptions!$F190),Assumptions!$B190/12,0),IF(AND('Cash flow forecast'!U$5&gt;=Assumptions!$E190,'Cash flow forecast'!U$5&lt;=Assumptions!$F190),Assumptions!$C190*Assumptions!$D190,0)),"")</f>
        <v/>
      </c>
      <c r="V210" s="222" t="str">
        <f>IFERROR(IF(INDEX(Assumptions!$G$177:$G$197,MATCH('Cash flow forecast'!$B210,Assumptions!$A$177:$A$197,0))="Salary",IF(AND('Cash flow forecast'!V$5&gt;=Assumptions!$E190,'Cash flow forecast'!V$5&lt;=Assumptions!$F190),Assumptions!$B190/12,0),IF(AND('Cash flow forecast'!V$5&gt;=Assumptions!$E190,'Cash flow forecast'!V$5&lt;=Assumptions!$F190),Assumptions!$C190*Assumptions!$D190,0)),"")</f>
        <v/>
      </c>
      <c r="W210" s="222" t="str">
        <f>IFERROR(IF(INDEX(Assumptions!$G$177:$G$197,MATCH('Cash flow forecast'!$B210,Assumptions!$A$177:$A$197,0))="Salary",IF(AND('Cash flow forecast'!W$5&gt;=Assumptions!$E190,'Cash flow forecast'!W$5&lt;=Assumptions!$F190),Assumptions!$B190/12,0),IF(AND('Cash flow forecast'!W$5&gt;=Assumptions!$E190,'Cash flow forecast'!W$5&lt;=Assumptions!$F190),Assumptions!$C190*Assumptions!$D190,0)),"")</f>
        <v/>
      </c>
      <c r="X210" s="222" t="str">
        <f>IFERROR(IF(INDEX(Assumptions!$G$177:$G$197,MATCH('Cash flow forecast'!$B210,Assumptions!$A$177:$A$197,0))="Salary",IF(AND('Cash flow forecast'!X$5&gt;=Assumptions!$E190,'Cash flow forecast'!X$5&lt;=Assumptions!$F190),Assumptions!$B190/12,0),IF(AND('Cash flow forecast'!X$5&gt;=Assumptions!$E190,'Cash flow forecast'!X$5&lt;=Assumptions!$F190),Assumptions!$C190*Assumptions!$D190,0)),"")</f>
        <v/>
      </c>
      <c r="Y210" s="222" t="str">
        <f>IFERROR(IF(INDEX(Assumptions!$G$177:$G$197,MATCH('Cash flow forecast'!$B210,Assumptions!$A$177:$A$197,0))="Salary",IF(AND('Cash flow forecast'!Y$5&gt;=Assumptions!$E190,'Cash flow forecast'!Y$5&lt;=Assumptions!$F190),Assumptions!$B190/12,0),IF(AND('Cash flow forecast'!Y$5&gt;=Assumptions!$E190,'Cash flow forecast'!Y$5&lt;=Assumptions!$F190),Assumptions!$C190*Assumptions!$D190,0)),"")</f>
        <v/>
      </c>
      <c r="Z210" s="223" t="str">
        <f>IFERROR(IF(INDEX(Assumptions!$G$177:$G$197,MATCH('Cash flow forecast'!$B210,Assumptions!$A$177:$A$197,0))="Salary",IF(AND('Cash flow forecast'!Z$5&gt;=Assumptions!$E190,'Cash flow forecast'!Z$5&lt;=Assumptions!$F190),Assumptions!$B190/12,0),IF(AND('Cash flow forecast'!Z$5&gt;=Assumptions!$E190,'Cash flow forecast'!Z$5&lt;=Assumptions!$F190),Assumptions!$C190*Assumptions!$D190,0)),"")</f>
        <v/>
      </c>
      <c r="AA210" s="221">
        <f t="shared" si="185"/>
        <v>0</v>
      </c>
      <c r="AB210" s="224">
        <f t="shared" si="185"/>
        <v>0</v>
      </c>
      <c r="AC210" s="224">
        <f t="shared" si="185"/>
        <v>0</v>
      </c>
      <c r="AD210" s="223">
        <f t="shared" si="185"/>
        <v>0</v>
      </c>
      <c r="AE210" s="225">
        <f t="shared" si="186"/>
        <v>0</v>
      </c>
      <c r="AF210" s="221">
        <f t="shared" si="188"/>
        <v>0</v>
      </c>
      <c r="AG210" s="224">
        <f t="shared" si="187"/>
        <v>0</v>
      </c>
      <c r="AH210" s="224">
        <f t="shared" si="187"/>
        <v>0</v>
      </c>
      <c r="AI210" s="223">
        <f t="shared" si="187"/>
        <v>0</v>
      </c>
      <c r="AJ210" s="225">
        <f t="shared" si="189"/>
        <v>0</v>
      </c>
      <c r="AK210" s="243">
        <f t="shared" si="182"/>
        <v>0</v>
      </c>
    </row>
    <row r="211" spans="2:37" ht="22.15" hidden="1" customHeight="1" outlineLevel="1" x14ac:dyDescent="0.25">
      <c r="B211" s="91" t="str">
        <f>IF(Assumptions!$A191="","",Assumptions!$A191)</f>
        <v/>
      </c>
      <c r="C211" s="221" t="str">
        <f>IFERROR(IF(INDEX(Assumptions!$G$177:$G$197,MATCH('Cash flow forecast'!$B211,Assumptions!$A$177:$A$197,0))="Salary",IF(AND('Cash flow forecast'!C$5&gt;=Assumptions!$E191,'Cash flow forecast'!C$5&lt;=Assumptions!$F191),Assumptions!$B191/12,0),IF(AND('Cash flow forecast'!C$5&gt;=Assumptions!$E191,'Cash flow forecast'!C$5&lt;=Assumptions!$F191),Assumptions!$C191*Assumptions!$D191,0)),"")</f>
        <v/>
      </c>
      <c r="D211" s="222" t="str">
        <f>IFERROR(IF(INDEX(Assumptions!$G$177:$G$197,MATCH('Cash flow forecast'!$B211,Assumptions!$A$177:$A$197,0))="Salary",IF(AND('Cash flow forecast'!D$5&gt;=Assumptions!$E191,'Cash flow forecast'!D$5&lt;=Assumptions!$F191),Assumptions!$B191/12,0),IF(AND('Cash flow forecast'!D$5&gt;=Assumptions!$E191,'Cash flow forecast'!D$5&lt;=Assumptions!$F191),Assumptions!$C191*Assumptions!$D191,0)),"")</f>
        <v/>
      </c>
      <c r="E211" s="222" t="str">
        <f>IFERROR(IF(INDEX(Assumptions!$G$177:$G$197,MATCH('Cash flow forecast'!$B211,Assumptions!$A$177:$A$197,0))="Salary",IF(AND('Cash flow forecast'!E$5&gt;=Assumptions!$E191,'Cash flow forecast'!E$5&lt;=Assumptions!$F191),Assumptions!$B191/12,0),IF(AND('Cash flow forecast'!E$5&gt;=Assumptions!$E191,'Cash flow forecast'!E$5&lt;=Assumptions!$F191),Assumptions!$C191*Assumptions!$D191,0)),"")</f>
        <v/>
      </c>
      <c r="F211" s="222" t="str">
        <f>IFERROR(IF(INDEX(Assumptions!$G$177:$G$197,MATCH('Cash flow forecast'!$B211,Assumptions!$A$177:$A$197,0))="Salary",IF(AND('Cash flow forecast'!F$5&gt;=Assumptions!$E191,'Cash flow forecast'!F$5&lt;=Assumptions!$F191),Assumptions!$B191/12,0),IF(AND('Cash flow forecast'!F$5&gt;=Assumptions!$E191,'Cash flow forecast'!F$5&lt;=Assumptions!$F191),Assumptions!$C191*Assumptions!$D191,0)),"")</f>
        <v/>
      </c>
      <c r="G211" s="222" t="str">
        <f>IFERROR(IF(INDEX(Assumptions!$G$177:$G$197,MATCH('Cash flow forecast'!$B211,Assumptions!$A$177:$A$197,0))="Salary",IF(AND('Cash flow forecast'!G$5&gt;=Assumptions!$E191,'Cash flow forecast'!G$5&lt;=Assumptions!$F191),Assumptions!$B191/12,0),IF(AND('Cash flow forecast'!G$5&gt;=Assumptions!$E191,'Cash flow forecast'!G$5&lt;=Assumptions!$F191),Assumptions!$C191*Assumptions!$D191,0)),"")</f>
        <v/>
      </c>
      <c r="H211" s="222" t="str">
        <f>IFERROR(IF(INDEX(Assumptions!$G$177:$G$197,MATCH('Cash flow forecast'!$B211,Assumptions!$A$177:$A$197,0))="Salary",IF(AND('Cash flow forecast'!H$5&gt;=Assumptions!$E191,'Cash flow forecast'!H$5&lt;=Assumptions!$F191),Assumptions!$B191/12,0),IF(AND('Cash flow forecast'!H$5&gt;=Assumptions!$E191,'Cash flow forecast'!H$5&lt;=Assumptions!$F191),Assumptions!$C191*Assumptions!$D191,0)),"")</f>
        <v/>
      </c>
      <c r="I211" s="222" t="str">
        <f>IFERROR(IF(INDEX(Assumptions!$G$177:$G$197,MATCH('Cash flow forecast'!$B211,Assumptions!$A$177:$A$197,0))="Salary",IF(AND('Cash flow forecast'!I$5&gt;=Assumptions!$E191,'Cash flow forecast'!I$5&lt;=Assumptions!$F191),Assumptions!$B191/12,0),IF(AND('Cash flow forecast'!I$5&gt;=Assumptions!$E191,'Cash flow forecast'!I$5&lt;=Assumptions!$F191),Assumptions!$C191*Assumptions!$D191,0)),"")</f>
        <v/>
      </c>
      <c r="J211" s="222" t="str">
        <f>IFERROR(IF(INDEX(Assumptions!$G$177:$G$197,MATCH('Cash flow forecast'!$B211,Assumptions!$A$177:$A$197,0))="Salary",IF(AND('Cash flow forecast'!J$5&gt;=Assumptions!$E191,'Cash flow forecast'!J$5&lt;=Assumptions!$F191),Assumptions!$B191/12,0),IF(AND('Cash flow forecast'!J$5&gt;=Assumptions!$E191,'Cash flow forecast'!J$5&lt;=Assumptions!$F191),Assumptions!$C191*Assumptions!$D191,0)),"")</f>
        <v/>
      </c>
      <c r="K211" s="222" t="str">
        <f>IFERROR(IF(INDEX(Assumptions!$G$177:$G$197,MATCH('Cash flow forecast'!$B211,Assumptions!$A$177:$A$197,0))="Salary",IF(AND('Cash flow forecast'!K$5&gt;=Assumptions!$E191,'Cash flow forecast'!K$5&lt;=Assumptions!$F191),Assumptions!$B191/12,0),IF(AND('Cash flow forecast'!K$5&gt;=Assumptions!$E191,'Cash flow forecast'!K$5&lt;=Assumptions!$F191),Assumptions!$C191*Assumptions!$D191,0)),"")</f>
        <v/>
      </c>
      <c r="L211" s="222" t="str">
        <f>IFERROR(IF(INDEX(Assumptions!$G$177:$G$197,MATCH('Cash flow forecast'!$B211,Assumptions!$A$177:$A$197,0))="Salary",IF(AND('Cash flow forecast'!L$5&gt;=Assumptions!$E191,'Cash flow forecast'!L$5&lt;=Assumptions!$F191),Assumptions!$B191/12,0),IF(AND('Cash flow forecast'!L$5&gt;=Assumptions!$E191,'Cash flow forecast'!L$5&lt;=Assumptions!$F191),Assumptions!$C191*Assumptions!$D191,0)),"")</f>
        <v/>
      </c>
      <c r="M211" s="222" t="str">
        <f>IFERROR(IF(INDEX(Assumptions!$G$177:$G$197,MATCH('Cash flow forecast'!$B211,Assumptions!$A$177:$A$197,0))="Salary",IF(AND('Cash flow forecast'!M$5&gt;=Assumptions!$E191,'Cash flow forecast'!M$5&lt;=Assumptions!$F191),Assumptions!$B191/12,0),IF(AND('Cash flow forecast'!M$5&gt;=Assumptions!$E191,'Cash flow forecast'!M$5&lt;=Assumptions!$F191),Assumptions!$C191*Assumptions!$D191,0)),"")</f>
        <v/>
      </c>
      <c r="N211" s="223" t="str">
        <f>IFERROR(IF(INDEX(Assumptions!$G$177:$G$197,MATCH('Cash flow forecast'!$B211,Assumptions!$A$177:$A$197,0))="Salary",IF(AND('Cash flow forecast'!N$5&gt;=Assumptions!$E191,'Cash flow forecast'!N$5&lt;=Assumptions!$F191),Assumptions!$B191/12,0),IF(AND('Cash flow forecast'!N$5&gt;=Assumptions!$E191,'Cash flow forecast'!N$5&lt;=Assumptions!$F191),Assumptions!$C191*Assumptions!$D191,0)),"")</f>
        <v/>
      </c>
      <c r="O211" s="221" t="str">
        <f>IFERROR(IF(INDEX(Assumptions!$G$177:$G$197,MATCH('Cash flow forecast'!$B211,Assumptions!$A$177:$A$197,0))="Salary",IF(AND('Cash flow forecast'!O$5&gt;=Assumptions!$E191,'Cash flow forecast'!O$5&lt;=Assumptions!$F191),Assumptions!$B191/12,0),IF(AND('Cash flow forecast'!O$5&gt;=Assumptions!$E191,'Cash flow forecast'!O$5&lt;=Assumptions!$F191),Assumptions!$C191*Assumptions!$D191,0)),"")</f>
        <v/>
      </c>
      <c r="P211" s="222" t="str">
        <f>IFERROR(IF(INDEX(Assumptions!$G$177:$G$197,MATCH('Cash flow forecast'!$B211,Assumptions!$A$177:$A$197,0))="Salary",IF(AND('Cash flow forecast'!P$5&gt;=Assumptions!$E191,'Cash flow forecast'!P$5&lt;=Assumptions!$F191),Assumptions!$B191/12,0),IF(AND('Cash flow forecast'!P$5&gt;=Assumptions!$E191,'Cash flow forecast'!P$5&lt;=Assumptions!$F191),Assumptions!$C191*Assumptions!$D191,0)),"")</f>
        <v/>
      </c>
      <c r="Q211" s="222" t="str">
        <f>IFERROR(IF(INDEX(Assumptions!$G$177:$G$197,MATCH('Cash flow forecast'!$B211,Assumptions!$A$177:$A$197,0))="Salary",IF(AND('Cash flow forecast'!Q$5&gt;=Assumptions!$E191,'Cash flow forecast'!Q$5&lt;=Assumptions!$F191),Assumptions!$B191/12,0),IF(AND('Cash flow forecast'!Q$5&gt;=Assumptions!$E191,'Cash flow forecast'!Q$5&lt;=Assumptions!$F191),Assumptions!$C191*Assumptions!$D191,0)),"")</f>
        <v/>
      </c>
      <c r="R211" s="222" t="str">
        <f>IFERROR(IF(INDEX(Assumptions!$G$177:$G$197,MATCH('Cash flow forecast'!$B211,Assumptions!$A$177:$A$197,0))="Salary",IF(AND('Cash flow forecast'!R$5&gt;=Assumptions!$E191,'Cash flow forecast'!R$5&lt;=Assumptions!$F191),Assumptions!$B191/12,0),IF(AND('Cash flow forecast'!R$5&gt;=Assumptions!$E191,'Cash flow forecast'!R$5&lt;=Assumptions!$F191),Assumptions!$C191*Assumptions!$D191,0)),"")</f>
        <v/>
      </c>
      <c r="S211" s="222" t="str">
        <f>IFERROR(IF(INDEX(Assumptions!$G$177:$G$197,MATCH('Cash flow forecast'!$B211,Assumptions!$A$177:$A$197,0))="Salary",IF(AND('Cash flow forecast'!S$5&gt;=Assumptions!$E191,'Cash flow forecast'!S$5&lt;=Assumptions!$F191),Assumptions!$B191/12,0),IF(AND('Cash flow forecast'!S$5&gt;=Assumptions!$E191,'Cash flow forecast'!S$5&lt;=Assumptions!$F191),Assumptions!$C191*Assumptions!$D191,0)),"")</f>
        <v/>
      </c>
      <c r="T211" s="222" t="str">
        <f>IFERROR(IF(INDEX(Assumptions!$G$177:$G$197,MATCH('Cash flow forecast'!$B211,Assumptions!$A$177:$A$197,0))="Salary",IF(AND('Cash flow forecast'!T$5&gt;=Assumptions!$E191,'Cash flow forecast'!T$5&lt;=Assumptions!$F191),Assumptions!$B191/12,0),IF(AND('Cash flow forecast'!T$5&gt;=Assumptions!$E191,'Cash flow forecast'!T$5&lt;=Assumptions!$F191),Assumptions!$C191*Assumptions!$D191,0)),"")</f>
        <v/>
      </c>
      <c r="U211" s="222" t="str">
        <f>IFERROR(IF(INDEX(Assumptions!$G$177:$G$197,MATCH('Cash flow forecast'!$B211,Assumptions!$A$177:$A$197,0))="Salary",IF(AND('Cash flow forecast'!U$5&gt;=Assumptions!$E191,'Cash flow forecast'!U$5&lt;=Assumptions!$F191),Assumptions!$B191/12,0),IF(AND('Cash flow forecast'!U$5&gt;=Assumptions!$E191,'Cash flow forecast'!U$5&lt;=Assumptions!$F191),Assumptions!$C191*Assumptions!$D191,0)),"")</f>
        <v/>
      </c>
      <c r="V211" s="222" t="str">
        <f>IFERROR(IF(INDEX(Assumptions!$G$177:$G$197,MATCH('Cash flow forecast'!$B211,Assumptions!$A$177:$A$197,0))="Salary",IF(AND('Cash flow forecast'!V$5&gt;=Assumptions!$E191,'Cash flow forecast'!V$5&lt;=Assumptions!$F191),Assumptions!$B191/12,0),IF(AND('Cash flow forecast'!V$5&gt;=Assumptions!$E191,'Cash flow forecast'!V$5&lt;=Assumptions!$F191),Assumptions!$C191*Assumptions!$D191,0)),"")</f>
        <v/>
      </c>
      <c r="W211" s="222" t="str">
        <f>IFERROR(IF(INDEX(Assumptions!$G$177:$G$197,MATCH('Cash flow forecast'!$B211,Assumptions!$A$177:$A$197,0))="Salary",IF(AND('Cash flow forecast'!W$5&gt;=Assumptions!$E191,'Cash flow forecast'!W$5&lt;=Assumptions!$F191),Assumptions!$B191/12,0),IF(AND('Cash flow forecast'!W$5&gt;=Assumptions!$E191,'Cash flow forecast'!W$5&lt;=Assumptions!$F191),Assumptions!$C191*Assumptions!$D191,0)),"")</f>
        <v/>
      </c>
      <c r="X211" s="222" t="str">
        <f>IFERROR(IF(INDEX(Assumptions!$G$177:$G$197,MATCH('Cash flow forecast'!$B211,Assumptions!$A$177:$A$197,0))="Salary",IF(AND('Cash flow forecast'!X$5&gt;=Assumptions!$E191,'Cash flow forecast'!X$5&lt;=Assumptions!$F191),Assumptions!$B191/12,0),IF(AND('Cash flow forecast'!X$5&gt;=Assumptions!$E191,'Cash flow forecast'!X$5&lt;=Assumptions!$F191),Assumptions!$C191*Assumptions!$D191,0)),"")</f>
        <v/>
      </c>
      <c r="Y211" s="222" t="str">
        <f>IFERROR(IF(INDEX(Assumptions!$G$177:$G$197,MATCH('Cash flow forecast'!$B211,Assumptions!$A$177:$A$197,0))="Salary",IF(AND('Cash flow forecast'!Y$5&gt;=Assumptions!$E191,'Cash flow forecast'!Y$5&lt;=Assumptions!$F191),Assumptions!$B191/12,0),IF(AND('Cash flow forecast'!Y$5&gt;=Assumptions!$E191,'Cash flow forecast'!Y$5&lt;=Assumptions!$F191),Assumptions!$C191*Assumptions!$D191,0)),"")</f>
        <v/>
      </c>
      <c r="Z211" s="223" t="str">
        <f>IFERROR(IF(INDEX(Assumptions!$G$177:$G$197,MATCH('Cash flow forecast'!$B211,Assumptions!$A$177:$A$197,0))="Salary",IF(AND('Cash flow forecast'!Z$5&gt;=Assumptions!$E191,'Cash flow forecast'!Z$5&lt;=Assumptions!$F191),Assumptions!$B191/12,0),IF(AND('Cash flow forecast'!Z$5&gt;=Assumptions!$E191,'Cash flow forecast'!Z$5&lt;=Assumptions!$F191),Assumptions!$C191*Assumptions!$D191,0)),"")</f>
        <v/>
      </c>
      <c r="AA211" s="221">
        <f t="shared" si="185"/>
        <v>0</v>
      </c>
      <c r="AB211" s="224">
        <f t="shared" si="185"/>
        <v>0</v>
      </c>
      <c r="AC211" s="224">
        <f t="shared" si="185"/>
        <v>0</v>
      </c>
      <c r="AD211" s="223">
        <f t="shared" si="185"/>
        <v>0</v>
      </c>
      <c r="AE211" s="225">
        <f t="shared" si="186"/>
        <v>0</v>
      </c>
      <c r="AF211" s="221">
        <f t="shared" si="188"/>
        <v>0</v>
      </c>
      <c r="AG211" s="224">
        <f t="shared" si="187"/>
        <v>0</v>
      </c>
      <c r="AH211" s="224">
        <f t="shared" si="187"/>
        <v>0</v>
      </c>
      <c r="AI211" s="223">
        <f t="shared" si="187"/>
        <v>0</v>
      </c>
      <c r="AJ211" s="225">
        <f t="shared" si="189"/>
        <v>0</v>
      </c>
      <c r="AK211" s="243">
        <f t="shared" si="182"/>
        <v>0</v>
      </c>
    </row>
    <row r="212" spans="2:37" ht="22.15" hidden="1" customHeight="1" outlineLevel="1" x14ac:dyDescent="0.25">
      <c r="B212" s="91" t="str">
        <f>IF(Assumptions!$A192="","",Assumptions!$A192)</f>
        <v/>
      </c>
      <c r="C212" s="221" t="str">
        <f>IFERROR(IF(INDEX(Assumptions!$G$177:$G$197,MATCH('Cash flow forecast'!$B212,Assumptions!$A$177:$A$197,0))="Salary",IF(AND('Cash flow forecast'!C$5&gt;=Assumptions!$E192,'Cash flow forecast'!C$5&lt;=Assumptions!$F192),Assumptions!$B192/12,0),IF(AND('Cash flow forecast'!C$5&gt;=Assumptions!$E192,'Cash flow forecast'!C$5&lt;=Assumptions!$F192),Assumptions!$C192*Assumptions!$D192,0)),"")</f>
        <v/>
      </c>
      <c r="D212" s="222" t="str">
        <f>IFERROR(IF(INDEX(Assumptions!$G$177:$G$197,MATCH('Cash flow forecast'!$B212,Assumptions!$A$177:$A$197,0))="Salary",IF(AND('Cash flow forecast'!D$5&gt;=Assumptions!$E192,'Cash flow forecast'!D$5&lt;=Assumptions!$F192),Assumptions!$B192/12,0),IF(AND('Cash flow forecast'!D$5&gt;=Assumptions!$E192,'Cash flow forecast'!D$5&lt;=Assumptions!$F192),Assumptions!$C192*Assumptions!$D192,0)),"")</f>
        <v/>
      </c>
      <c r="E212" s="222" t="str">
        <f>IFERROR(IF(INDEX(Assumptions!$G$177:$G$197,MATCH('Cash flow forecast'!$B212,Assumptions!$A$177:$A$197,0))="Salary",IF(AND('Cash flow forecast'!E$5&gt;=Assumptions!$E192,'Cash flow forecast'!E$5&lt;=Assumptions!$F192),Assumptions!$B192/12,0),IF(AND('Cash flow forecast'!E$5&gt;=Assumptions!$E192,'Cash flow forecast'!E$5&lt;=Assumptions!$F192),Assumptions!$C192*Assumptions!$D192,0)),"")</f>
        <v/>
      </c>
      <c r="F212" s="222" t="str">
        <f>IFERROR(IF(INDEX(Assumptions!$G$177:$G$197,MATCH('Cash flow forecast'!$B212,Assumptions!$A$177:$A$197,0))="Salary",IF(AND('Cash flow forecast'!F$5&gt;=Assumptions!$E192,'Cash flow forecast'!F$5&lt;=Assumptions!$F192),Assumptions!$B192/12,0),IF(AND('Cash flow forecast'!F$5&gt;=Assumptions!$E192,'Cash flow forecast'!F$5&lt;=Assumptions!$F192),Assumptions!$C192*Assumptions!$D192,0)),"")</f>
        <v/>
      </c>
      <c r="G212" s="222" t="str">
        <f>IFERROR(IF(INDEX(Assumptions!$G$177:$G$197,MATCH('Cash flow forecast'!$B212,Assumptions!$A$177:$A$197,0))="Salary",IF(AND('Cash flow forecast'!G$5&gt;=Assumptions!$E192,'Cash flow forecast'!G$5&lt;=Assumptions!$F192),Assumptions!$B192/12,0),IF(AND('Cash flow forecast'!G$5&gt;=Assumptions!$E192,'Cash flow forecast'!G$5&lt;=Assumptions!$F192),Assumptions!$C192*Assumptions!$D192,0)),"")</f>
        <v/>
      </c>
      <c r="H212" s="222" t="str">
        <f>IFERROR(IF(INDEX(Assumptions!$G$177:$G$197,MATCH('Cash flow forecast'!$B212,Assumptions!$A$177:$A$197,0))="Salary",IF(AND('Cash flow forecast'!H$5&gt;=Assumptions!$E192,'Cash flow forecast'!H$5&lt;=Assumptions!$F192),Assumptions!$B192/12,0),IF(AND('Cash flow forecast'!H$5&gt;=Assumptions!$E192,'Cash flow forecast'!H$5&lt;=Assumptions!$F192),Assumptions!$C192*Assumptions!$D192,0)),"")</f>
        <v/>
      </c>
      <c r="I212" s="222" t="str">
        <f>IFERROR(IF(INDEX(Assumptions!$G$177:$G$197,MATCH('Cash flow forecast'!$B212,Assumptions!$A$177:$A$197,0))="Salary",IF(AND('Cash flow forecast'!I$5&gt;=Assumptions!$E192,'Cash flow forecast'!I$5&lt;=Assumptions!$F192),Assumptions!$B192/12,0),IF(AND('Cash flow forecast'!I$5&gt;=Assumptions!$E192,'Cash flow forecast'!I$5&lt;=Assumptions!$F192),Assumptions!$C192*Assumptions!$D192,0)),"")</f>
        <v/>
      </c>
      <c r="J212" s="222" t="str">
        <f>IFERROR(IF(INDEX(Assumptions!$G$177:$G$197,MATCH('Cash flow forecast'!$B212,Assumptions!$A$177:$A$197,0))="Salary",IF(AND('Cash flow forecast'!J$5&gt;=Assumptions!$E192,'Cash flow forecast'!J$5&lt;=Assumptions!$F192),Assumptions!$B192/12,0),IF(AND('Cash flow forecast'!J$5&gt;=Assumptions!$E192,'Cash flow forecast'!J$5&lt;=Assumptions!$F192),Assumptions!$C192*Assumptions!$D192,0)),"")</f>
        <v/>
      </c>
      <c r="K212" s="222" t="str">
        <f>IFERROR(IF(INDEX(Assumptions!$G$177:$G$197,MATCH('Cash flow forecast'!$B212,Assumptions!$A$177:$A$197,0))="Salary",IF(AND('Cash flow forecast'!K$5&gt;=Assumptions!$E192,'Cash flow forecast'!K$5&lt;=Assumptions!$F192),Assumptions!$B192/12,0),IF(AND('Cash flow forecast'!K$5&gt;=Assumptions!$E192,'Cash flow forecast'!K$5&lt;=Assumptions!$F192),Assumptions!$C192*Assumptions!$D192,0)),"")</f>
        <v/>
      </c>
      <c r="L212" s="222" t="str">
        <f>IFERROR(IF(INDEX(Assumptions!$G$177:$G$197,MATCH('Cash flow forecast'!$B212,Assumptions!$A$177:$A$197,0))="Salary",IF(AND('Cash flow forecast'!L$5&gt;=Assumptions!$E192,'Cash flow forecast'!L$5&lt;=Assumptions!$F192),Assumptions!$B192/12,0),IF(AND('Cash flow forecast'!L$5&gt;=Assumptions!$E192,'Cash flow forecast'!L$5&lt;=Assumptions!$F192),Assumptions!$C192*Assumptions!$D192,0)),"")</f>
        <v/>
      </c>
      <c r="M212" s="222" t="str">
        <f>IFERROR(IF(INDEX(Assumptions!$G$177:$G$197,MATCH('Cash flow forecast'!$B212,Assumptions!$A$177:$A$197,0))="Salary",IF(AND('Cash flow forecast'!M$5&gt;=Assumptions!$E192,'Cash flow forecast'!M$5&lt;=Assumptions!$F192),Assumptions!$B192/12,0),IF(AND('Cash flow forecast'!M$5&gt;=Assumptions!$E192,'Cash flow forecast'!M$5&lt;=Assumptions!$F192),Assumptions!$C192*Assumptions!$D192,0)),"")</f>
        <v/>
      </c>
      <c r="N212" s="223" t="str">
        <f>IFERROR(IF(INDEX(Assumptions!$G$177:$G$197,MATCH('Cash flow forecast'!$B212,Assumptions!$A$177:$A$197,0))="Salary",IF(AND('Cash flow forecast'!N$5&gt;=Assumptions!$E192,'Cash flow forecast'!N$5&lt;=Assumptions!$F192),Assumptions!$B192/12,0),IF(AND('Cash flow forecast'!N$5&gt;=Assumptions!$E192,'Cash flow forecast'!N$5&lt;=Assumptions!$F192),Assumptions!$C192*Assumptions!$D192,0)),"")</f>
        <v/>
      </c>
      <c r="O212" s="221" t="str">
        <f>IFERROR(IF(INDEX(Assumptions!$G$177:$G$197,MATCH('Cash flow forecast'!$B212,Assumptions!$A$177:$A$197,0))="Salary",IF(AND('Cash flow forecast'!O$5&gt;=Assumptions!$E192,'Cash flow forecast'!O$5&lt;=Assumptions!$F192),Assumptions!$B192/12,0),IF(AND('Cash flow forecast'!O$5&gt;=Assumptions!$E192,'Cash flow forecast'!O$5&lt;=Assumptions!$F192),Assumptions!$C192*Assumptions!$D192,0)),"")</f>
        <v/>
      </c>
      <c r="P212" s="222" t="str">
        <f>IFERROR(IF(INDEX(Assumptions!$G$177:$G$197,MATCH('Cash flow forecast'!$B212,Assumptions!$A$177:$A$197,0))="Salary",IF(AND('Cash flow forecast'!P$5&gt;=Assumptions!$E192,'Cash flow forecast'!P$5&lt;=Assumptions!$F192),Assumptions!$B192/12,0),IF(AND('Cash flow forecast'!P$5&gt;=Assumptions!$E192,'Cash flow forecast'!P$5&lt;=Assumptions!$F192),Assumptions!$C192*Assumptions!$D192,0)),"")</f>
        <v/>
      </c>
      <c r="Q212" s="222" t="str">
        <f>IFERROR(IF(INDEX(Assumptions!$G$177:$G$197,MATCH('Cash flow forecast'!$B212,Assumptions!$A$177:$A$197,0))="Salary",IF(AND('Cash flow forecast'!Q$5&gt;=Assumptions!$E192,'Cash flow forecast'!Q$5&lt;=Assumptions!$F192),Assumptions!$B192/12,0),IF(AND('Cash flow forecast'!Q$5&gt;=Assumptions!$E192,'Cash flow forecast'!Q$5&lt;=Assumptions!$F192),Assumptions!$C192*Assumptions!$D192,0)),"")</f>
        <v/>
      </c>
      <c r="R212" s="222" t="str">
        <f>IFERROR(IF(INDEX(Assumptions!$G$177:$G$197,MATCH('Cash flow forecast'!$B212,Assumptions!$A$177:$A$197,0))="Salary",IF(AND('Cash flow forecast'!R$5&gt;=Assumptions!$E192,'Cash flow forecast'!R$5&lt;=Assumptions!$F192),Assumptions!$B192/12,0),IF(AND('Cash flow forecast'!R$5&gt;=Assumptions!$E192,'Cash flow forecast'!R$5&lt;=Assumptions!$F192),Assumptions!$C192*Assumptions!$D192,0)),"")</f>
        <v/>
      </c>
      <c r="S212" s="222" t="str">
        <f>IFERROR(IF(INDEX(Assumptions!$G$177:$G$197,MATCH('Cash flow forecast'!$B212,Assumptions!$A$177:$A$197,0))="Salary",IF(AND('Cash flow forecast'!S$5&gt;=Assumptions!$E192,'Cash flow forecast'!S$5&lt;=Assumptions!$F192),Assumptions!$B192/12,0),IF(AND('Cash flow forecast'!S$5&gt;=Assumptions!$E192,'Cash flow forecast'!S$5&lt;=Assumptions!$F192),Assumptions!$C192*Assumptions!$D192,0)),"")</f>
        <v/>
      </c>
      <c r="T212" s="222" t="str">
        <f>IFERROR(IF(INDEX(Assumptions!$G$177:$G$197,MATCH('Cash flow forecast'!$B212,Assumptions!$A$177:$A$197,0))="Salary",IF(AND('Cash flow forecast'!T$5&gt;=Assumptions!$E192,'Cash flow forecast'!T$5&lt;=Assumptions!$F192),Assumptions!$B192/12,0),IF(AND('Cash flow forecast'!T$5&gt;=Assumptions!$E192,'Cash flow forecast'!T$5&lt;=Assumptions!$F192),Assumptions!$C192*Assumptions!$D192,0)),"")</f>
        <v/>
      </c>
      <c r="U212" s="222" t="str">
        <f>IFERROR(IF(INDEX(Assumptions!$G$177:$G$197,MATCH('Cash flow forecast'!$B212,Assumptions!$A$177:$A$197,0))="Salary",IF(AND('Cash flow forecast'!U$5&gt;=Assumptions!$E192,'Cash flow forecast'!U$5&lt;=Assumptions!$F192),Assumptions!$B192/12,0),IF(AND('Cash flow forecast'!U$5&gt;=Assumptions!$E192,'Cash flow forecast'!U$5&lt;=Assumptions!$F192),Assumptions!$C192*Assumptions!$D192,0)),"")</f>
        <v/>
      </c>
      <c r="V212" s="222" t="str">
        <f>IFERROR(IF(INDEX(Assumptions!$G$177:$G$197,MATCH('Cash flow forecast'!$B212,Assumptions!$A$177:$A$197,0))="Salary",IF(AND('Cash flow forecast'!V$5&gt;=Assumptions!$E192,'Cash flow forecast'!V$5&lt;=Assumptions!$F192),Assumptions!$B192/12,0),IF(AND('Cash flow forecast'!V$5&gt;=Assumptions!$E192,'Cash flow forecast'!V$5&lt;=Assumptions!$F192),Assumptions!$C192*Assumptions!$D192,0)),"")</f>
        <v/>
      </c>
      <c r="W212" s="222" t="str">
        <f>IFERROR(IF(INDEX(Assumptions!$G$177:$G$197,MATCH('Cash flow forecast'!$B212,Assumptions!$A$177:$A$197,0))="Salary",IF(AND('Cash flow forecast'!W$5&gt;=Assumptions!$E192,'Cash flow forecast'!W$5&lt;=Assumptions!$F192),Assumptions!$B192/12,0),IF(AND('Cash flow forecast'!W$5&gt;=Assumptions!$E192,'Cash flow forecast'!W$5&lt;=Assumptions!$F192),Assumptions!$C192*Assumptions!$D192,0)),"")</f>
        <v/>
      </c>
      <c r="X212" s="222" t="str">
        <f>IFERROR(IF(INDEX(Assumptions!$G$177:$G$197,MATCH('Cash flow forecast'!$B212,Assumptions!$A$177:$A$197,0))="Salary",IF(AND('Cash flow forecast'!X$5&gt;=Assumptions!$E192,'Cash flow forecast'!X$5&lt;=Assumptions!$F192),Assumptions!$B192/12,0),IF(AND('Cash flow forecast'!X$5&gt;=Assumptions!$E192,'Cash flow forecast'!X$5&lt;=Assumptions!$F192),Assumptions!$C192*Assumptions!$D192,0)),"")</f>
        <v/>
      </c>
      <c r="Y212" s="222" t="str">
        <f>IFERROR(IF(INDEX(Assumptions!$G$177:$G$197,MATCH('Cash flow forecast'!$B212,Assumptions!$A$177:$A$197,0))="Salary",IF(AND('Cash flow forecast'!Y$5&gt;=Assumptions!$E192,'Cash flow forecast'!Y$5&lt;=Assumptions!$F192),Assumptions!$B192/12,0),IF(AND('Cash flow forecast'!Y$5&gt;=Assumptions!$E192,'Cash flow forecast'!Y$5&lt;=Assumptions!$F192),Assumptions!$C192*Assumptions!$D192,0)),"")</f>
        <v/>
      </c>
      <c r="Z212" s="223" t="str">
        <f>IFERROR(IF(INDEX(Assumptions!$G$177:$G$197,MATCH('Cash flow forecast'!$B212,Assumptions!$A$177:$A$197,0))="Salary",IF(AND('Cash flow forecast'!Z$5&gt;=Assumptions!$E192,'Cash flow forecast'!Z$5&lt;=Assumptions!$F192),Assumptions!$B192/12,0),IF(AND('Cash flow forecast'!Z$5&gt;=Assumptions!$E192,'Cash flow forecast'!Z$5&lt;=Assumptions!$F192),Assumptions!$C192*Assumptions!$D192,0)),"")</f>
        <v/>
      </c>
      <c r="AA212" s="221">
        <f t="shared" si="185"/>
        <v>0</v>
      </c>
      <c r="AB212" s="224">
        <f t="shared" si="185"/>
        <v>0</v>
      </c>
      <c r="AC212" s="224">
        <f t="shared" si="185"/>
        <v>0</v>
      </c>
      <c r="AD212" s="223">
        <f t="shared" si="185"/>
        <v>0</v>
      </c>
      <c r="AE212" s="225">
        <f t="shared" si="186"/>
        <v>0</v>
      </c>
      <c r="AF212" s="221">
        <f t="shared" si="188"/>
        <v>0</v>
      </c>
      <c r="AG212" s="224">
        <f t="shared" si="187"/>
        <v>0</v>
      </c>
      <c r="AH212" s="224">
        <f t="shared" si="187"/>
        <v>0</v>
      </c>
      <c r="AI212" s="223">
        <f t="shared" si="187"/>
        <v>0</v>
      </c>
      <c r="AJ212" s="225">
        <f t="shared" si="189"/>
        <v>0</v>
      </c>
      <c r="AK212" s="243">
        <f t="shared" si="182"/>
        <v>0</v>
      </c>
    </row>
    <row r="213" spans="2:37" ht="22.15" hidden="1" customHeight="1" outlineLevel="1" x14ac:dyDescent="0.25">
      <c r="B213" s="91" t="str">
        <f>IF(Assumptions!$A193="","",Assumptions!$A193)</f>
        <v/>
      </c>
      <c r="C213" s="221" t="str">
        <f>IFERROR(IF(INDEX(Assumptions!$G$177:$G$197,MATCH('Cash flow forecast'!$B213,Assumptions!$A$177:$A$197,0))="Salary",IF(AND('Cash flow forecast'!C$5&gt;=Assumptions!$E193,'Cash flow forecast'!C$5&lt;=Assumptions!$F193),Assumptions!$B193/12,0),IF(AND('Cash flow forecast'!C$5&gt;=Assumptions!$E193,'Cash flow forecast'!C$5&lt;=Assumptions!$F193),Assumptions!$C193*Assumptions!$D193,0)),"")</f>
        <v/>
      </c>
      <c r="D213" s="222" t="str">
        <f>IFERROR(IF(INDEX(Assumptions!$G$177:$G$197,MATCH('Cash flow forecast'!$B213,Assumptions!$A$177:$A$197,0))="Salary",IF(AND('Cash flow forecast'!D$5&gt;=Assumptions!$E193,'Cash flow forecast'!D$5&lt;=Assumptions!$F193),Assumptions!$B193/12,0),IF(AND('Cash flow forecast'!D$5&gt;=Assumptions!$E193,'Cash flow forecast'!D$5&lt;=Assumptions!$F193),Assumptions!$C193*Assumptions!$D193,0)),"")</f>
        <v/>
      </c>
      <c r="E213" s="222" t="str">
        <f>IFERROR(IF(INDEX(Assumptions!$G$177:$G$197,MATCH('Cash flow forecast'!$B213,Assumptions!$A$177:$A$197,0))="Salary",IF(AND('Cash flow forecast'!E$5&gt;=Assumptions!$E193,'Cash flow forecast'!E$5&lt;=Assumptions!$F193),Assumptions!$B193/12,0),IF(AND('Cash flow forecast'!E$5&gt;=Assumptions!$E193,'Cash flow forecast'!E$5&lt;=Assumptions!$F193),Assumptions!$C193*Assumptions!$D193,0)),"")</f>
        <v/>
      </c>
      <c r="F213" s="222" t="str">
        <f>IFERROR(IF(INDEX(Assumptions!$G$177:$G$197,MATCH('Cash flow forecast'!$B213,Assumptions!$A$177:$A$197,0))="Salary",IF(AND('Cash flow forecast'!F$5&gt;=Assumptions!$E193,'Cash flow forecast'!F$5&lt;=Assumptions!$F193),Assumptions!$B193/12,0),IF(AND('Cash flow forecast'!F$5&gt;=Assumptions!$E193,'Cash flow forecast'!F$5&lt;=Assumptions!$F193),Assumptions!$C193*Assumptions!$D193,0)),"")</f>
        <v/>
      </c>
      <c r="G213" s="222" t="str">
        <f>IFERROR(IF(INDEX(Assumptions!$G$177:$G$197,MATCH('Cash flow forecast'!$B213,Assumptions!$A$177:$A$197,0))="Salary",IF(AND('Cash flow forecast'!G$5&gt;=Assumptions!$E193,'Cash flow forecast'!G$5&lt;=Assumptions!$F193),Assumptions!$B193/12,0),IF(AND('Cash flow forecast'!G$5&gt;=Assumptions!$E193,'Cash flow forecast'!G$5&lt;=Assumptions!$F193),Assumptions!$C193*Assumptions!$D193,0)),"")</f>
        <v/>
      </c>
      <c r="H213" s="222" t="str">
        <f>IFERROR(IF(INDEX(Assumptions!$G$177:$G$197,MATCH('Cash flow forecast'!$B213,Assumptions!$A$177:$A$197,0))="Salary",IF(AND('Cash flow forecast'!H$5&gt;=Assumptions!$E193,'Cash flow forecast'!H$5&lt;=Assumptions!$F193),Assumptions!$B193/12,0),IF(AND('Cash flow forecast'!H$5&gt;=Assumptions!$E193,'Cash flow forecast'!H$5&lt;=Assumptions!$F193),Assumptions!$C193*Assumptions!$D193,0)),"")</f>
        <v/>
      </c>
      <c r="I213" s="222" t="str">
        <f>IFERROR(IF(INDEX(Assumptions!$G$177:$G$197,MATCH('Cash flow forecast'!$B213,Assumptions!$A$177:$A$197,0))="Salary",IF(AND('Cash flow forecast'!I$5&gt;=Assumptions!$E193,'Cash flow forecast'!I$5&lt;=Assumptions!$F193),Assumptions!$B193/12,0),IF(AND('Cash flow forecast'!I$5&gt;=Assumptions!$E193,'Cash flow forecast'!I$5&lt;=Assumptions!$F193),Assumptions!$C193*Assumptions!$D193,0)),"")</f>
        <v/>
      </c>
      <c r="J213" s="222" t="str">
        <f>IFERROR(IF(INDEX(Assumptions!$G$177:$G$197,MATCH('Cash flow forecast'!$B213,Assumptions!$A$177:$A$197,0))="Salary",IF(AND('Cash flow forecast'!J$5&gt;=Assumptions!$E193,'Cash flow forecast'!J$5&lt;=Assumptions!$F193),Assumptions!$B193/12,0),IF(AND('Cash flow forecast'!J$5&gt;=Assumptions!$E193,'Cash flow forecast'!J$5&lt;=Assumptions!$F193),Assumptions!$C193*Assumptions!$D193,0)),"")</f>
        <v/>
      </c>
      <c r="K213" s="222" t="str">
        <f>IFERROR(IF(INDEX(Assumptions!$G$177:$G$197,MATCH('Cash flow forecast'!$B213,Assumptions!$A$177:$A$197,0))="Salary",IF(AND('Cash flow forecast'!K$5&gt;=Assumptions!$E193,'Cash flow forecast'!K$5&lt;=Assumptions!$F193),Assumptions!$B193/12,0),IF(AND('Cash flow forecast'!K$5&gt;=Assumptions!$E193,'Cash flow forecast'!K$5&lt;=Assumptions!$F193),Assumptions!$C193*Assumptions!$D193,0)),"")</f>
        <v/>
      </c>
      <c r="L213" s="222" t="str">
        <f>IFERROR(IF(INDEX(Assumptions!$G$177:$G$197,MATCH('Cash flow forecast'!$B213,Assumptions!$A$177:$A$197,0))="Salary",IF(AND('Cash flow forecast'!L$5&gt;=Assumptions!$E193,'Cash flow forecast'!L$5&lt;=Assumptions!$F193),Assumptions!$B193/12,0),IF(AND('Cash flow forecast'!L$5&gt;=Assumptions!$E193,'Cash flow forecast'!L$5&lt;=Assumptions!$F193),Assumptions!$C193*Assumptions!$D193,0)),"")</f>
        <v/>
      </c>
      <c r="M213" s="222" t="str">
        <f>IFERROR(IF(INDEX(Assumptions!$G$177:$G$197,MATCH('Cash flow forecast'!$B213,Assumptions!$A$177:$A$197,0))="Salary",IF(AND('Cash flow forecast'!M$5&gt;=Assumptions!$E193,'Cash flow forecast'!M$5&lt;=Assumptions!$F193),Assumptions!$B193/12,0),IF(AND('Cash flow forecast'!M$5&gt;=Assumptions!$E193,'Cash flow forecast'!M$5&lt;=Assumptions!$F193),Assumptions!$C193*Assumptions!$D193,0)),"")</f>
        <v/>
      </c>
      <c r="N213" s="223" t="str">
        <f>IFERROR(IF(INDEX(Assumptions!$G$177:$G$197,MATCH('Cash flow forecast'!$B213,Assumptions!$A$177:$A$197,0))="Salary",IF(AND('Cash flow forecast'!N$5&gt;=Assumptions!$E193,'Cash flow forecast'!N$5&lt;=Assumptions!$F193),Assumptions!$B193/12,0),IF(AND('Cash flow forecast'!N$5&gt;=Assumptions!$E193,'Cash flow forecast'!N$5&lt;=Assumptions!$F193),Assumptions!$C193*Assumptions!$D193,0)),"")</f>
        <v/>
      </c>
      <c r="O213" s="221" t="str">
        <f>IFERROR(IF(INDEX(Assumptions!$G$177:$G$197,MATCH('Cash flow forecast'!$B213,Assumptions!$A$177:$A$197,0))="Salary",IF(AND('Cash flow forecast'!O$5&gt;=Assumptions!$E193,'Cash flow forecast'!O$5&lt;=Assumptions!$F193),Assumptions!$B193/12,0),IF(AND('Cash flow forecast'!O$5&gt;=Assumptions!$E193,'Cash flow forecast'!O$5&lt;=Assumptions!$F193),Assumptions!$C193*Assumptions!$D193,0)),"")</f>
        <v/>
      </c>
      <c r="P213" s="222" t="str">
        <f>IFERROR(IF(INDEX(Assumptions!$G$177:$G$197,MATCH('Cash flow forecast'!$B213,Assumptions!$A$177:$A$197,0))="Salary",IF(AND('Cash flow forecast'!P$5&gt;=Assumptions!$E193,'Cash flow forecast'!P$5&lt;=Assumptions!$F193),Assumptions!$B193/12,0),IF(AND('Cash flow forecast'!P$5&gt;=Assumptions!$E193,'Cash flow forecast'!P$5&lt;=Assumptions!$F193),Assumptions!$C193*Assumptions!$D193,0)),"")</f>
        <v/>
      </c>
      <c r="Q213" s="222" t="str">
        <f>IFERROR(IF(INDEX(Assumptions!$G$177:$G$197,MATCH('Cash flow forecast'!$B213,Assumptions!$A$177:$A$197,0))="Salary",IF(AND('Cash flow forecast'!Q$5&gt;=Assumptions!$E193,'Cash flow forecast'!Q$5&lt;=Assumptions!$F193),Assumptions!$B193/12,0),IF(AND('Cash flow forecast'!Q$5&gt;=Assumptions!$E193,'Cash flow forecast'!Q$5&lt;=Assumptions!$F193),Assumptions!$C193*Assumptions!$D193,0)),"")</f>
        <v/>
      </c>
      <c r="R213" s="222" t="str">
        <f>IFERROR(IF(INDEX(Assumptions!$G$177:$G$197,MATCH('Cash flow forecast'!$B213,Assumptions!$A$177:$A$197,0))="Salary",IF(AND('Cash flow forecast'!R$5&gt;=Assumptions!$E193,'Cash flow forecast'!R$5&lt;=Assumptions!$F193),Assumptions!$B193/12,0),IF(AND('Cash flow forecast'!R$5&gt;=Assumptions!$E193,'Cash flow forecast'!R$5&lt;=Assumptions!$F193),Assumptions!$C193*Assumptions!$D193,0)),"")</f>
        <v/>
      </c>
      <c r="S213" s="222" t="str">
        <f>IFERROR(IF(INDEX(Assumptions!$G$177:$G$197,MATCH('Cash flow forecast'!$B213,Assumptions!$A$177:$A$197,0))="Salary",IF(AND('Cash flow forecast'!S$5&gt;=Assumptions!$E193,'Cash flow forecast'!S$5&lt;=Assumptions!$F193),Assumptions!$B193/12,0),IF(AND('Cash flow forecast'!S$5&gt;=Assumptions!$E193,'Cash flow forecast'!S$5&lt;=Assumptions!$F193),Assumptions!$C193*Assumptions!$D193,0)),"")</f>
        <v/>
      </c>
      <c r="T213" s="222" t="str">
        <f>IFERROR(IF(INDEX(Assumptions!$G$177:$G$197,MATCH('Cash flow forecast'!$B213,Assumptions!$A$177:$A$197,0))="Salary",IF(AND('Cash flow forecast'!T$5&gt;=Assumptions!$E193,'Cash flow forecast'!T$5&lt;=Assumptions!$F193),Assumptions!$B193/12,0),IF(AND('Cash flow forecast'!T$5&gt;=Assumptions!$E193,'Cash flow forecast'!T$5&lt;=Assumptions!$F193),Assumptions!$C193*Assumptions!$D193,0)),"")</f>
        <v/>
      </c>
      <c r="U213" s="222" t="str">
        <f>IFERROR(IF(INDEX(Assumptions!$G$177:$G$197,MATCH('Cash flow forecast'!$B213,Assumptions!$A$177:$A$197,0))="Salary",IF(AND('Cash flow forecast'!U$5&gt;=Assumptions!$E193,'Cash flow forecast'!U$5&lt;=Assumptions!$F193),Assumptions!$B193/12,0),IF(AND('Cash flow forecast'!U$5&gt;=Assumptions!$E193,'Cash flow forecast'!U$5&lt;=Assumptions!$F193),Assumptions!$C193*Assumptions!$D193,0)),"")</f>
        <v/>
      </c>
      <c r="V213" s="222" t="str">
        <f>IFERROR(IF(INDEX(Assumptions!$G$177:$G$197,MATCH('Cash flow forecast'!$B213,Assumptions!$A$177:$A$197,0))="Salary",IF(AND('Cash flow forecast'!V$5&gt;=Assumptions!$E193,'Cash flow forecast'!V$5&lt;=Assumptions!$F193),Assumptions!$B193/12,0),IF(AND('Cash flow forecast'!V$5&gt;=Assumptions!$E193,'Cash flow forecast'!V$5&lt;=Assumptions!$F193),Assumptions!$C193*Assumptions!$D193,0)),"")</f>
        <v/>
      </c>
      <c r="W213" s="222" t="str">
        <f>IFERROR(IF(INDEX(Assumptions!$G$177:$G$197,MATCH('Cash flow forecast'!$B213,Assumptions!$A$177:$A$197,0))="Salary",IF(AND('Cash flow forecast'!W$5&gt;=Assumptions!$E193,'Cash flow forecast'!W$5&lt;=Assumptions!$F193),Assumptions!$B193/12,0),IF(AND('Cash flow forecast'!W$5&gt;=Assumptions!$E193,'Cash flow forecast'!W$5&lt;=Assumptions!$F193),Assumptions!$C193*Assumptions!$D193,0)),"")</f>
        <v/>
      </c>
      <c r="X213" s="222" t="str">
        <f>IFERROR(IF(INDEX(Assumptions!$G$177:$G$197,MATCH('Cash flow forecast'!$B213,Assumptions!$A$177:$A$197,0))="Salary",IF(AND('Cash flow forecast'!X$5&gt;=Assumptions!$E193,'Cash flow forecast'!X$5&lt;=Assumptions!$F193),Assumptions!$B193/12,0),IF(AND('Cash flow forecast'!X$5&gt;=Assumptions!$E193,'Cash flow forecast'!X$5&lt;=Assumptions!$F193),Assumptions!$C193*Assumptions!$D193,0)),"")</f>
        <v/>
      </c>
      <c r="Y213" s="222" t="str">
        <f>IFERROR(IF(INDEX(Assumptions!$G$177:$G$197,MATCH('Cash flow forecast'!$B213,Assumptions!$A$177:$A$197,0))="Salary",IF(AND('Cash flow forecast'!Y$5&gt;=Assumptions!$E193,'Cash flow forecast'!Y$5&lt;=Assumptions!$F193),Assumptions!$B193/12,0),IF(AND('Cash flow forecast'!Y$5&gt;=Assumptions!$E193,'Cash flow forecast'!Y$5&lt;=Assumptions!$F193),Assumptions!$C193*Assumptions!$D193,0)),"")</f>
        <v/>
      </c>
      <c r="Z213" s="223" t="str">
        <f>IFERROR(IF(INDEX(Assumptions!$G$177:$G$197,MATCH('Cash flow forecast'!$B213,Assumptions!$A$177:$A$197,0))="Salary",IF(AND('Cash flow forecast'!Z$5&gt;=Assumptions!$E193,'Cash flow forecast'!Z$5&lt;=Assumptions!$F193),Assumptions!$B193/12,0),IF(AND('Cash flow forecast'!Z$5&gt;=Assumptions!$E193,'Cash flow forecast'!Z$5&lt;=Assumptions!$F193),Assumptions!$C193*Assumptions!$D193,0)),"")</f>
        <v/>
      </c>
      <c r="AA213" s="221">
        <f t="shared" ref="AA213:AD217" si="190">SUMIFS($C213:$N213,$C$6:$N$6,AA$5)</f>
        <v>0</v>
      </c>
      <c r="AB213" s="224">
        <f t="shared" si="190"/>
        <v>0</v>
      </c>
      <c r="AC213" s="224">
        <f t="shared" si="190"/>
        <v>0</v>
      </c>
      <c r="AD213" s="223">
        <f t="shared" si="190"/>
        <v>0</v>
      </c>
      <c r="AE213" s="225">
        <f t="shared" si="186"/>
        <v>0</v>
      </c>
      <c r="AF213" s="221">
        <f t="shared" si="188"/>
        <v>0</v>
      </c>
      <c r="AG213" s="224">
        <f t="shared" si="188"/>
        <v>0</v>
      </c>
      <c r="AH213" s="224">
        <f t="shared" si="188"/>
        <v>0</v>
      </c>
      <c r="AI213" s="223">
        <f t="shared" si="188"/>
        <v>0</v>
      </c>
      <c r="AJ213" s="225">
        <f t="shared" si="189"/>
        <v>0</v>
      </c>
      <c r="AK213" s="243">
        <f t="shared" si="182"/>
        <v>0</v>
      </c>
    </row>
    <row r="214" spans="2:37" ht="22.15" hidden="1" customHeight="1" outlineLevel="1" x14ac:dyDescent="0.25">
      <c r="B214" s="91" t="str">
        <f>IF(Assumptions!$A194="","",Assumptions!$A194)</f>
        <v/>
      </c>
      <c r="C214" s="221" t="str">
        <f>IFERROR(IF(INDEX(Assumptions!$G$177:$G$197,MATCH('Cash flow forecast'!$B214,Assumptions!$A$177:$A$197,0))="Salary",IF(AND('Cash flow forecast'!C$5&gt;=Assumptions!$E194,'Cash flow forecast'!C$5&lt;=Assumptions!$F194),Assumptions!$B194/12,0),IF(AND('Cash flow forecast'!C$5&gt;=Assumptions!$E194,'Cash flow forecast'!C$5&lt;=Assumptions!$F194),Assumptions!$C194*Assumptions!$D194,0)),"")</f>
        <v/>
      </c>
      <c r="D214" s="222" t="str">
        <f>IFERROR(IF(INDEX(Assumptions!$G$177:$G$197,MATCH('Cash flow forecast'!$B214,Assumptions!$A$177:$A$197,0))="Salary",IF(AND('Cash flow forecast'!D$5&gt;=Assumptions!$E194,'Cash flow forecast'!D$5&lt;=Assumptions!$F194),Assumptions!$B194/12,0),IF(AND('Cash flow forecast'!D$5&gt;=Assumptions!$E194,'Cash flow forecast'!D$5&lt;=Assumptions!$F194),Assumptions!$C194*Assumptions!$D194,0)),"")</f>
        <v/>
      </c>
      <c r="E214" s="222" t="str">
        <f>IFERROR(IF(INDEX(Assumptions!$G$177:$G$197,MATCH('Cash flow forecast'!$B214,Assumptions!$A$177:$A$197,0))="Salary",IF(AND('Cash flow forecast'!E$5&gt;=Assumptions!$E194,'Cash flow forecast'!E$5&lt;=Assumptions!$F194),Assumptions!$B194/12,0),IF(AND('Cash flow forecast'!E$5&gt;=Assumptions!$E194,'Cash flow forecast'!E$5&lt;=Assumptions!$F194),Assumptions!$C194*Assumptions!$D194,0)),"")</f>
        <v/>
      </c>
      <c r="F214" s="222" t="str">
        <f>IFERROR(IF(INDEX(Assumptions!$G$177:$G$197,MATCH('Cash flow forecast'!$B214,Assumptions!$A$177:$A$197,0))="Salary",IF(AND('Cash flow forecast'!F$5&gt;=Assumptions!$E194,'Cash flow forecast'!F$5&lt;=Assumptions!$F194),Assumptions!$B194/12,0),IF(AND('Cash flow forecast'!F$5&gt;=Assumptions!$E194,'Cash flow forecast'!F$5&lt;=Assumptions!$F194),Assumptions!$C194*Assumptions!$D194,0)),"")</f>
        <v/>
      </c>
      <c r="G214" s="222" t="str">
        <f>IFERROR(IF(INDEX(Assumptions!$G$177:$G$197,MATCH('Cash flow forecast'!$B214,Assumptions!$A$177:$A$197,0))="Salary",IF(AND('Cash flow forecast'!G$5&gt;=Assumptions!$E194,'Cash flow forecast'!G$5&lt;=Assumptions!$F194),Assumptions!$B194/12,0),IF(AND('Cash flow forecast'!G$5&gt;=Assumptions!$E194,'Cash flow forecast'!G$5&lt;=Assumptions!$F194),Assumptions!$C194*Assumptions!$D194,0)),"")</f>
        <v/>
      </c>
      <c r="H214" s="222" t="str">
        <f>IFERROR(IF(INDEX(Assumptions!$G$177:$G$197,MATCH('Cash flow forecast'!$B214,Assumptions!$A$177:$A$197,0))="Salary",IF(AND('Cash flow forecast'!H$5&gt;=Assumptions!$E194,'Cash flow forecast'!H$5&lt;=Assumptions!$F194),Assumptions!$B194/12,0),IF(AND('Cash flow forecast'!H$5&gt;=Assumptions!$E194,'Cash flow forecast'!H$5&lt;=Assumptions!$F194),Assumptions!$C194*Assumptions!$D194,0)),"")</f>
        <v/>
      </c>
      <c r="I214" s="222" t="str">
        <f>IFERROR(IF(INDEX(Assumptions!$G$177:$G$197,MATCH('Cash flow forecast'!$B214,Assumptions!$A$177:$A$197,0))="Salary",IF(AND('Cash flow forecast'!I$5&gt;=Assumptions!$E194,'Cash flow forecast'!I$5&lt;=Assumptions!$F194),Assumptions!$B194/12,0),IF(AND('Cash flow forecast'!I$5&gt;=Assumptions!$E194,'Cash flow forecast'!I$5&lt;=Assumptions!$F194),Assumptions!$C194*Assumptions!$D194,0)),"")</f>
        <v/>
      </c>
      <c r="J214" s="222" t="str">
        <f>IFERROR(IF(INDEX(Assumptions!$G$177:$G$197,MATCH('Cash flow forecast'!$B214,Assumptions!$A$177:$A$197,0))="Salary",IF(AND('Cash flow forecast'!J$5&gt;=Assumptions!$E194,'Cash flow forecast'!J$5&lt;=Assumptions!$F194),Assumptions!$B194/12,0),IF(AND('Cash flow forecast'!J$5&gt;=Assumptions!$E194,'Cash flow forecast'!J$5&lt;=Assumptions!$F194),Assumptions!$C194*Assumptions!$D194,0)),"")</f>
        <v/>
      </c>
      <c r="K214" s="222" t="str">
        <f>IFERROR(IF(INDEX(Assumptions!$G$177:$G$197,MATCH('Cash flow forecast'!$B214,Assumptions!$A$177:$A$197,0))="Salary",IF(AND('Cash flow forecast'!K$5&gt;=Assumptions!$E194,'Cash flow forecast'!K$5&lt;=Assumptions!$F194),Assumptions!$B194/12,0),IF(AND('Cash flow forecast'!K$5&gt;=Assumptions!$E194,'Cash flow forecast'!K$5&lt;=Assumptions!$F194),Assumptions!$C194*Assumptions!$D194,0)),"")</f>
        <v/>
      </c>
      <c r="L214" s="222" t="str">
        <f>IFERROR(IF(INDEX(Assumptions!$G$177:$G$197,MATCH('Cash flow forecast'!$B214,Assumptions!$A$177:$A$197,0))="Salary",IF(AND('Cash flow forecast'!L$5&gt;=Assumptions!$E194,'Cash flow forecast'!L$5&lt;=Assumptions!$F194),Assumptions!$B194/12,0),IF(AND('Cash flow forecast'!L$5&gt;=Assumptions!$E194,'Cash flow forecast'!L$5&lt;=Assumptions!$F194),Assumptions!$C194*Assumptions!$D194,0)),"")</f>
        <v/>
      </c>
      <c r="M214" s="222" t="str">
        <f>IFERROR(IF(INDEX(Assumptions!$G$177:$G$197,MATCH('Cash flow forecast'!$B214,Assumptions!$A$177:$A$197,0))="Salary",IF(AND('Cash flow forecast'!M$5&gt;=Assumptions!$E194,'Cash flow forecast'!M$5&lt;=Assumptions!$F194),Assumptions!$B194/12,0),IF(AND('Cash flow forecast'!M$5&gt;=Assumptions!$E194,'Cash flow forecast'!M$5&lt;=Assumptions!$F194),Assumptions!$C194*Assumptions!$D194,0)),"")</f>
        <v/>
      </c>
      <c r="N214" s="223" t="str">
        <f>IFERROR(IF(INDEX(Assumptions!$G$177:$G$197,MATCH('Cash flow forecast'!$B214,Assumptions!$A$177:$A$197,0))="Salary",IF(AND('Cash flow forecast'!N$5&gt;=Assumptions!$E194,'Cash flow forecast'!N$5&lt;=Assumptions!$F194),Assumptions!$B194/12,0),IF(AND('Cash flow forecast'!N$5&gt;=Assumptions!$E194,'Cash flow forecast'!N$5&lt;=Assumptions!$F194),Assumptions!$C194*Assumptions!$D194,0)),"")</f>
        <v/>
      </c>
      <c r="O214" s="221" t="str">
        <f>IFERROR(IF(INDEX(Assumptions!$G$177:$G$197,MATCH('Cash flow forecast'!$B214,Assumptions!$A$177:$A$197,0))="Salary",IF(AND('Cash flow forecast'!O$5&gt;=Assumptions!$E194,'Cash flow forecast'!O$5&lt;=Assumptions!$F194),Assumptions!$B194/12,0),IF(AND('Cash flow forecast'!O$5&gt;=Assumptions!$E194,'Cash flow forecast'!O$5&lt;=Assumptions!$F194),Assumptions!$C194*Assumptions!$D194,0)),"")</f>
        <v/>
      </c>
      <c r="P214" s="222" t="str">
        <f>IFERROR(IF(INDEX(Assumptions!$G$177:$G$197,MATCH('Cash flow forecast'!$B214,Assumptions!$A$177:$A$197,0))="Salary",IF(AND('Cash flow forecast'!P$5&gt;=Assumptions!$E194,'Cash flow forecast'!P$5&lt;=Assumptions!$F194),Assumptions!$B194/12,0),IF(AND('Cash flow forecast'!P$5&gt;=Assumptions!$E194,'Cash flow forecast'!P$5&lt;=Assumptions!$F194),Assumptions!$C194*Assumptions!$D194,0)),"")</f>
        <v/>
      </c>
      <c r="Q214" s="222" t="str">
        <f>IFERROR(IF(INDEX(Assumptions!$G$177:$G$197,MATCH('Cash flow forecast'!$B214,Assumptions!$A$177:$A$197,0))="Salary",IF(AND('Cash flow forecast'!Q$5&gt;=Assumptions!$E194,'Cash flow forecast'!Q$5&lt;=Assumptions!$F194),Assumptions!$B194/12,0),IF(AND('Cash flow forecast'!Q$5&gt;=Assumptions!$E194,'Cash flow forecast'!Q$5&lt;=Assumptions!$F194),Assumptions!$C194*Assumptions!$D194,0)),"")</f>
        <v/>
      </c>
      <c r="R214" s="222" t="str">
        <f>IFERROR(IF(INDEX(Assumptions!$G$177:$G$197,MATCH('Cash flow forecast'!$B214,Assumptions!$A$177:$A$197,0))="Salary",IF(AND('Cash flow forecast'!R$5&gt;=Assumptions!$E194,'Cash flow forecast'!R$5&lt;=Assumptions!$F194),Assumptions!$B194/12,0),IF(AND('Cash flow forecast'!R$5&gt;=Assumptions!$E194,'Cash flow forecast'!R$5&lt;=Assumptions!$F194),Assumptions!$C194*Assumptions!$D194,0)),"")</f>
        <v/>
      </c>
      <c r="S214" s="222" t="str">
        <f>IFERROR(IF(INDEX(Assumptions!$G$177:$G$197,MATCH('Cash flow forecast'!$B214,Assumptions!$A$177:$A$197,0))="Salary",IF(AND('Cash flow forecast'!S$5&gt;=Assumptions!$E194,'Cash flow forecast'!S$5&lt;=Assumptions!$F194),Assumptions!$B194/12,0),IF(AND('Cash flow forecast'!S$5&gt;=Assumptions!$E194,'Cash flow forecast'!S$5&lt;=Assumptions!$F194),Assumptions!$C194*Assumptions!$D194,0)),"")</f>
        <v/>
      </c>
      <c r="T214" s="222" t="str">
        <f>IFERROR(IF(INDEX(Assumptions!$G$177:$G$197,MATCH('Cash flow forecast'!$B214,Assumptions!$A$177:$A$197,0))="Salary",IF(AND('Cash flow forecast'!T$5&gt;=Assumptions!$E194,'Cash flow forecast'!T$5&lt;=Assumptions!$F194),Assumptions!$B194/12,0),IF(AND('Cash flow forecast'!T$5&gt;=Assumptions!$E194,'Cash flow forecast'!T$5&lt;=Assumptions!$F194),Assumptions!$C194*Assumptions!$D194,0)),"")</f>
        <v/>
      </c>
      <c r="U214" s="222" t="str">
        <f>IFERROR(IF(INDEX(Assumptions!$G$177:$G$197,MATCH('Cash flow forecast'!$B214,Assumptions!$A$177:$A$197,0))="Salary",IF(AND('Cash flow forecast'!U$5&gt;=Assumptions!$E194,'Cash flow forecast'!U$5&lt;=Assumptions!$F194),Assumptions!$B194/12,0),IF(AND('Cash flow forecast'!U$5&gt;=Assumptions!$E194,'Cash flow forecast'!U$5&lt;=Assumptions!$F194),Assumptions!$C194*Assumptions!$D194,0)),"")</f>
        <v/>
      </c>
      <c r="V214" s="222" t="str">
        <f>IFERROR(IF(INDEX(Assumptions!$G$177:$G$197,MATCH('Cash flow forecast'!$B214,Assumptions!$A$177:$A$197,0))="Salary",IF(AND('Cash flow forecast'!V$5&gt;=Assumptions!$E194,'Cash flow forecast'!V$5&lt;=Assumptions!$F194),Assumptions!$B194/12,0),IF(AND('Cash flow forecast'!V$5&gt;=Assumptions!$E194,'Cash flow forecast'!V$5&lt;=Assumptions!$F194),Assumptions!$C194*Assumptions!$D194,0)),"")</f>
        <v/>
      </c>
      <c r="W214" s="222" t="str">
        <f>IFERROR(IF(INDEX(Assumptions!$G$177:$G$197,MATCH('Cash flow forecast'!$B214,Assumptions!$A$177:$A$197,0))="Salary",IF(AND('Cash flow forecast'!W$5&gt;=Assumptions!$E194,'Cash flow forecast'!W$5&lt;=Assumptions!$F194),Assumptions!$B194/12,0),IF(AND('Cash flow forecast'!W$5&gt;=Assumptions!$E194,'Cash flow forecast'!W$5&lt;=Assumptions!$F194),Assumptions!$C194*Assumptions!$D194,0)),"")</f>
        <v/>
      </c>
      <c r="X214" s="222" t="str">
        <f>IFERROR(IF(INDEX(Assumptions!$G$177:$G$197,MATCH('Cash flow forecast'!$B214,Assumptions!$A$177:$A$197,0))="Salary",IF(AND('Cash flow forecast'!X$5&gt;=Assumptions!$E194,'Cash flow forecast'!X$5&lt;=Assumptions!$F194),Assumptions!$B194/12,0),IF(AND('Cash flow forecast'!X$5&gt;=Assumptions!$E194,'Cash flow forecast'!X$5&lt;=Assumptions!$F194),Assumptions!$C194*Assumptions!$D194,0)),"")</f>
        <v/>
      </c>
      <c r="Y214" s="222" t="str">
        <f>IFERROR(IF(INDEX(Assumptions!$G$177:$G$197,MATCH('Cash flow forecast'!$B214,Assumptions!$A$177:$A$197,0))="Salary",IF(AND('Cash flow forecast'!Y$5&gt;=Assumptions!$E194,'Cash flow forecast'!Y$5&lt;=Assumptions!$F194),Assumptions!$B194/12,0),IF(AND('Cash flow forecast'!Y$5&gt;=Assumptions!$E194,'Cash flow forecast'!Y$5&lt;=Assumptions!$F194),Assumptions!$C194*Assumptions!$D194,0)),"")</f>
        <v/>
      </c>
      <c r="Z214" s="223" t="str">
        <f>IFERROR(IF(INDEX(Assumptions!$G$177:$G$197,MATCH('Cash flow forecast'!$B214,Assumptions!$A$177:$A$197,0))="Salary",IF(AND('Cash flow forecast'!Z$5&gt;=Assumptions!$E194,'Cash flow forecast'!Z$5&lt;=Assumptions!$F194),Assumptions!$B194/12,0),IF(AND('Cash flow forecast'!Z$5&gt;=Assumptions!$E194,'Cash flow forecast'!Z$5&lt;=Assumptions!$F194),Assumptions!$C194*Assumptions!$D194,0)),"")</f>
        <v/>
      </c>
      <c r="AA214" s="221">
        <f t="shared" si="190"/>
        <v>0</v>
      </c>
      <c r="AB214" s="224">
        <f t="shared" si="190"/>
        <v>0</v>
      </c>
      <c r="AC214" s="224">
        <f t="shared" si="190"/>
        <v>0</v>
      </c>
      <c r="AD214" s="223">
        <f t="shared" si="190"/>
        <v>0</v>
      </c>
      <c r="AE214" s="225">
        <f t="shared" si="186"/>
        <v>0</v>
      </c>
      <c r="AF214" s="221">
        <f t="shared" si="188"/>
        <v>0</v>
      </c>
      <c r="AG214" s="224">
        <f t="shared" si="188"/>
        <v>0</v>
      </c>
      <c r="AH214" s="224">
        <f t="shared" si="188"/>
        <v>0</v>
      </c>
      <c r="AI214" s="223">
        <f t="shared" si="188"/>
        <v>0</v>
      </c>
      <c r="AJ214" s="225">
        <f t="shared" si="189"/>
        <v>0</v>
      </c>
      <c r="AK214" s="243">
        <f t="shared" si="182"/>
        <v>0</v>
      </c>
    </row>
    <row r="215" spans="2:37" ht="22.15" hidden="1" customHeight="1" outlineLevel="1" x14ac:dyDescent="0.25">
      <c r="B215" s="91" t="str">
        <f>IF(Assumptions!$A195="","",Assumptions!$A195)</f>
        <v/>
      </c>
      <c r="C215" s="221" t="str">
        <f>IFERROR(IF(INDEX(Assumptions!$G$177:$G$197,MATCH('Cash flow forecast'!$B215,Assumptions!$A$177:$A$197,0))="Salary",IF(AND('Cash flow forecast'!C$5&gt;=Assumptions!$E195,'Cash flow forecast'!C$5&lt;=Assumptions!$F195),Assumptions!$B195/12,0),IF(AND('Cash flow forecast'!C$5&gt;=Assumptions!$E195,'Cash flow forecast'!C$5&lt;=Assumptions!$F195),Assumptions!$C195*Assumptions!$D195,0)),"")</f>
        <v/>
      </c>
      <c r="D215" s="222" t="str">
        <f>IFERROR(IF(INDEX(Assumptions!$G$177:$G$197,MATCH('Cash flow forecast'!$B215,Assumptions!$A$177:$A$197,0))="Salary",IF(AND('Cash flow forecast'!D$5&gt;=Assumptions!$E195,'Cash flow forecast'!D$5&lt;=Assumptions!$F195),Assumptions!$B195/12,0),IF(AND('Cash flow forecast'!D$5&gt;=Assumptions!$E195,'Cash flow forecast'!D$5&lt;=Assumptions!$F195),Assumptions!$C195*Assumptions!$D195,0)),"")</f>
        <v/>
      </c>
      <c r="E215" s="222" t="str">
        <f>IFERROR(IF(INDEX(Assumptions!$G$177:$G$197,MATCH('Cash flow forecast'!$B215,Assumptions!$A$177:$A$197,0))="Salary",IF(AND('Cash flow forecast'!E$5&gt;=Assumptions!$E195,'Cash flow forecast'!E$5&lt;=Assumptions!$F195),Assumptions!$B195/12,0),IF(AND('Cash flow forecast'!E$5&gt;=Assumptions!$E195,'Cash flow forecast'!E$5&lt;=Assumptions!$F195),Assumptions!$C195*Assumptions!$D195,0)),"")</f>
        <v/>
      </c>
      <c r="F215" s="222" t="str">
        <f>IFERROR(IF(INDEX(Assumptions!$G$177:$G$197,MATCH('Cash flow forecast'!$B215,Assumptions!$A$177:$A$197,0))="Salary",IF(AND('Cash flow forecast'!F$5&gt;=Assumptions!$E195,'Cash flow forecast'!F$5&lt;=Assumptions!$F195),Assumptions!$B195/12,0),IF(AND('Cash flow forecast'!F$5&gt;=Assumptions!$E195,'Cash flow forecast'!F$5&lt;=Assumptions!$F195),Assumptions!$C195*Assumptions!$D195,0)),"")</f>
        <v/>
      </c>
      <c r="G215" s="222" t="str">
        <f>IFERROR(IF(INDEX(Assumptions!$G$177:$G$197,MATCH('Cash flow forecast'!$B215,Assumptions!$A$177:$A$197,0))="Salary",IF(AND('Cash flow forecast'!G$5&gt;=Assumptions!$E195,'Cash flow forecast'!G$5&lt;=Assumptions!$F195),Assumptions!$B195/12,0),IF(AND('Cash flow forecast'!G$5&gt;=Assumptions!$E195,'Cash flow forecast'!G$5&lt;=Assumptions!$F195),Assumptions!$C195*Assumptions!$D195,0)),"")</f>
        <v/>
      </c>
      <c r="H215" s="222" t="str">
        <f>IFERROR(IF(INDEX(Assumptions!$G$177:$G$197,MATCH('Cash flow forecast'!$B215,Assumptions!$A$177:$A$197,0))="Salary",IF(AND('Cash flow forecast'!H$5&gt;=Assumptions!$E195,'Cash flow forecast'!H$5&lt;=Assumptions!$F195),Assumptions!$B195/12,0),IF(AND('Cash flow forecast'!H$5&gt;=Assumptions!$E195,'Cash flow forecast'!H$5&lt;=Assumptions!$F195),Assumptions!$C195*Assumptions!$D195,0)),"")</f>
        <v/>
      </c>
      <c r="I215" s="222" t="str">
        <f>IFERROR(IF(INDEX(Assumptions!$G$177:$G$197,MATCH('Cash flow forecast'!$B215,Assumptions!$A$177:$A$197,0))="Salary",IF(AND('Cash flow forecast'!I$5&gt;=Assumptions!$E195,'Cash flow forecast'!I$5&lt;=Assumptions!$F195),Assumptions!$B195/12,0),IF(AND('Cash flow forecast'!I$5&gt;=Assumptions!$E195,'Cash flow forecast'!I$5&lt;=Assumptions!$F195),Assumptions!$C195*Assumptions!$D195,0)),"")</f>
        <v/>
      </c>
      <c r="J215" s="222" t="str">
        <f>IFERROR(IF(INDEX(Assumptions!$G$177:$G$197,MATCH('Cash flow forecast'!$B215,Assumptions!$A$177:$A$197,0))="Salary",IF(AND('Cash flow forecast'!J$5&gt;=Assumptions!$E195,'Cash flow forecast'!J$5&lt;=Assumptions!$F195),Assumptions!$B195/12,0),IF(AND('Cash flow forecast'!J$5&gt;=Assumptions!$E195,'Cash flow forecast'!J$5&lt;=Assumptions!$F195),Assumptions!$C195*Assumptions!$D195,0)),"")</f>
        <v/>
      </c>
      <c r="K215" s="222" t="str">
        <f>IFERROR(IF(INDEX(Assumptions!$G$177:$G$197,MATCH('Cash flow forecast'!$B215,Assumptions!$A$177:$A$197,0))="Salary",IF(AND('Cash flow forecast'!K$5&gt;=Assumptions!$E195,'Cash flow forecast'!K$5&lt;=Assumptions!$F195),Assumptions!$B195/12,0),IF(AND('Cash flow forecast'!K$5&gt;=Assumptions!$E195,'Cash flow forecast'!K$5&lt;=Assumptions!$F195),Assumptions!$C195*Assumptions!$D195,0)),"")</f>
        <v/>
      </c>
      <c r="L215" s="222" t="str">
        <f>IFERROR(IF(INDEX(Assumptions!$G$177:$G$197,MATCH('Cash flow forecast'!$B215,Assumptions!$A$177:$A$197,0))="Salary",IF(AND('Cash flow forecast'!L$5&gt;=Assumptions!$E195,'Cash flow forecast'!L$5&lt;=Assumptions!$F195),Assumptions!$B195/12,0),IF(AND('Cash flow forecast'!L$5&gt;=Assumptions!$E195,'Cash flow forecast'!L$5&lt;=Assumptions!$F195),Assumptions!$C195*Assumptions!$D195,0)),"")</f>
        <v/>
      </c>
      <c r="M215" s="222" t="str">
        <f>IFERROR(IF(INDEX(Assumptions!$G$177:$G$197,MATCH('Cash flow forecast'!$B215,Assumptions!$A$177:$A$197,0))="Salary",IF(AND('Cash flow forecast'!M$5&gt;=Assumptions!$E195,'Cash flow forecast'!M$5&lt;=Assumptions!$F195),Assumptions!$B195/12,0),IF(AND('Cash flow forecast'!M$5&gt;=Assumptions!$E195,'Cash flow forecast'!M$5&lt;=Assumptions!$F195),Assumptions!$C195*Assumptions!$D195,0)),"")</f>
        <v/>
      </c>
      <c r="N215" s="223" t="str">
        <f>IFERROR(IF(INDEX(Assumptions!$G$177:$G$197,MATCH('Cash flow forecast'!$B215,Assumptions!$A$177:$A$197,0))="Salary",IF(AND('Cash flow forecast'!N$5&gt;=Assumptions!$E195,'Cash flow forecast'!N$5&lt;=Assumptions!$F195),Assumptions!$B195/12,0),IF(AND('Cash flow forecast'!N$5&gt;=Assumptions!$E195,'Cash flow forecast'!N$5&lt;=Assumptions!$F195),Assumptions!$C195*Assumptions!$D195,0)),"")</f>
        <v/>
      </c>
      <c r="O215" s="221" t="str">
        <f>IFERROR(IF(INDEX(Assumptions!$G$177:$G$197,MATCH('Cash flow forecast'!$B215,Assumptions!$A$177:$A$197,0))="Salary",IF(AND('Cash flow forecast'!O$5&gt;=Assumptions!$E195,'Cash flow forecast'!O$5&lt;=Assumptions!$F195),Assumptions!$B195/12,0),IF(AND('Cash flow forecast'!O$5&gt;=Assumptions!$E195,'Cash flow forecast'!O$5&lt;=Assumptions!$F195),Assumptions!$C195*Assumptions!$D195,0)),"")</f>
        <v/>
      </c>
      <c r="P215" s="222" t="str">
        <f>IFERROR(IF(INDEX(Assumptions!$G$177:$G$197,MATCH('Cash flow forecast'!$B215,Assumptions!$A$177:$A$197,0))="Salary",IF(AND('Cash flow forecast'!P$5&gt;=Assumptions!$E195,'Cash flow forecast'!P$5&lt;=Assumptions!$F195),Assumptions!$B195/12,0),IF(AND('Cash flow forecast'!P$5&gt;=Assumptions!$E195,'Cash flow forecast'!P$5&lt;=Assumptions!$F195),Assumptions!$C195*Assumptions!$D195,0)),"")</f>
        <v/>
      </c>
      <c r="Q215" s="222" t="str">
        <f>IFERROR(IF(INDEX(Assumptions!$G$177:$G$197,MATCH('Cash flow forecast'!$B215,Assumptions!$A$177:$A$197,0))="Salary",IF(AND('Cash flow forecast'!Q$5&gt;=Assumptions!$E195,'Cash flow forecast'!Q$5&lt;=Assumptions!$F195),Assumptions!$B195/12,0),IF(AND('Cash flow forecast'!Q$5&gt;=Assumptions!$E195,'Cash flow forecast'!Q$5&lt;=Assumptions!$F195),Assumptions!$C195*Assumptions!$D195,0)),"")</f>
        <v/>
      </c>
      <c r="R215" s="222" t="str">
        <f>IFERROR(IF(INDEX(Assumptions!$G$177:$G$197,MATCH('Cash flow forecast'!$B215,Assumptions!$A$177:$A$197,0))="Salary",IF(AND('Cash flow forecast'!R$5&gt;=Assumptions!$E195,'Cash flow forecast'!R$5&lt;=Assumptions!$F195),Assumptions!$B195/12,0),IF(AND('Cash flow forecast'!R$5&gt;=Assumptions!$E195,'Cash flow forecast'!R$5&lt;=Assumptions!$F195),Assumptions!$C195*Assumptions!$D195,0)),"")</f>
        <v/>
      </c>
      <c r="S215" s="222" t="str">
        <f>IFERROR(IF(INDEX(Assumptions!$G$177:$G$197,MATCH('Cash flow forecast'!$B215,Assumptions!$A$177:$A$197,0))="Salary",IF(AND('Cash flow forecast'!S$5&gt;=Assumptions!$E195,'Cash flow forecast'!S$5&lt;=Assumptions!$F195),Assumptions!$B195/12,0),IF(AND('Cash flow forecast'!S$5&gt;=Assumptions!$E195,'Cash flow forecast'!S$5&lt;=Assumptions!$F195),Assumptions!$C195*Assumptions!$D195,0)),"")</f>
        <v/>
      </c>
      <c r="T215" s="222" t="str">
        <f>IFERROR(IF(INDEX(Assumptions!$G$177:$G$197,MATCH('Cash flow forecast'!$B215,Assumptions!$A$177:$A$197,0))="Salary",IF(AND('Cash flow forecast'!T$5&gt;=Assumptions!$E195,'Cash flow forecast'!T$5&lt;=Assumptions!$F195),Assumptions!$B195/12,0),IF(AND('Cash flow forecast'!T$5&gt;=Assumptions!$E195,'Cash flow forecast'!T$5&lt;=Assumptions!$F195),Assumptions!$C195*Assumptions!$D195,0)),"")</f>
        <v/>
      </c>
      <c r="U215" s="222" t="str">
        <f>IFERROR(IF(INDEX(Assumptions!$G$177:$G$197,MATCH('Cash flow forecast'!$B215,Assumptions!$A$177:$A$197,0))="Salary",IF(AND('Cash flow forecast'!U$5&gt;=Assumptions!$E195,'Cash flow forecast'!U$5&lt;=Assumptions!$F195),Assumptions!$B195/12,0),IF(AND('Cash flow forecast'!U$5&gt;=Assumptions!$E195,'Cash flow forecast'!U$5&lt;=Assumptions!$F195),Assumptions!$C195*Assumptions!$D195,0)),"")</f>
        <v/>
      </c>
      <c r="V215" s="222" t="str">
        <f>IFERROR(IF(INDEX(Assumptions!$G$177:$G$197,MATCH('Cash flow forecast'!$B215,Assumptions!$A$177:$A$197,0))="Salary",IF(AND('Cash flow forecast'!V$5&gt;=Assumptions!$E195,'Cash flow forecast'!V$5&lt;=Assumptions!$F195),Assumptions!$B195/12,0),IF(AND('Cash flow forecast'!V$5&gt;=Assumptions!$E195,'Cash flow forecast'!V$5&lt;=Assumptions!$F195),Assumptions!$C195*Assumptions!$D195,0)),"")</f>
        <v/>
      </c>
      <c r="W215" s="222" t="str">
        <f>IFERROR(IF(INDEX(Assumptions!$G$177:$G$197,MATCH('Cash flow forecast'!$B215,Assumptions!$A$177:$A$197,0))="Salary",IF(AND('Cash flow forecast'!W$5&gt;=Assumptions!$E195,'Cash flow forecast'!W$5&lt;=Assumptions!$F195),Assumptions!$B195/12,0),IF(AND('Cash flow forecast'!W$5&gt;=Assumptions!$E195,'Cash flow forecast'!W$5&lt;=Assumptions!$F195),Assumptions!$C195*Assumptions!$D195,0)),"")</f>
        <v/>
      </c>
      <c r="X215" s="222" t="str">
        <f>IFERROR(IF(INDEX(Assumptions!$G$177:$G$197,MATCH('Cash flow forecast'!$B215,Assumptions!$A$177:$A$197,0))="Salary",IF(AND('Cash flow forecast'!X$5&gt;=Assumptions!$E195,'Cash flow forecast'!X$5&lt;=Assumptions!$F195),Assumptions!$B195/12,0),IF(AND('Cash flow forecast'!X$5&gt;=Assumptions!$E195,'Cash flow forecast'!X$5&lt;=Assumptions!$F195),Assumptions!$C195*Assumptions!$D195,0)),"")</f>
        <v/>
      </c>
      <c r="Y215" s="222" t="str">
        <f>IFERROR(IF(INDEX(Assumptions!$G$177:$G$197,MATCH('Cash flow forecast'!$B215,Assumptions!$A$177:$A$197,0))="Salary",IF(AND('Cash flow forecast'!Y$5&gt;=Assumptions!$E195,'Cash flow forecast'!Y$5&lt;=Assumptions!$F195),Assumptions!$B195/12,0),IF(AND('Cash flow forecast'!Y$5&gt;=Assumptions!$E195,'Cash flow forecast'!Y$5&lt;=Assumptions!$F195),Assumptions!$C195*Assumptions!$D195,0)),"")</f>
        <v/>
      </c>
      <c r="Z215" s="223" t="str">
        <f>IFERROR(IF(INDEX(Assumptions!$G$177:$G$197,MATCH('Cash flow forecast'!$B215,Assumptions!$A$177:$A$197,0))="Salary",IF(AND('Cash flow forecast'!Z$5&gt;=Assumptions!$E195,'Cash flow forecast'!Z$5&lt;=Assumptions!$F195),Assumptions!$B195/12,0),IF(AND('Cash flow forecast'!Z$5&gt;=Assumptions!$E195,'Cash flow forecast'!Z$5&lt;=Assumptions!$F195),Assumptions!$C195*Assumptions!$D195,0)),"")</f>
        <v/>
      </c>
      <c r="AA215" s="221">
        <f t="shared" si="190"/>
        <v>0</v>
      </c>
      <c r="AB215" s="224">
        <f t="shared" si="190"/>
        <v>0</v>
      </c>
      <c r="AC215" s="224">
        <f t="shared" si="190"/>
        <v>0</v>
      </c>
      <c r="AD215" s="223">
        <f t="shared" si="190"/>
        <v>0</v>
      </c>
      <c r="AE215" s="225">
        <f t="shared" si="186"/>
        <v>0</v>
      </c>
      <c r="AF215" s="221">
        <f t="shared" si="188"/>
        <v>0</v>
      </c>
      <c r="AG215" s="224">
        <f t="shared" si="188"/>
        <v>0</v>
      </c>
      <c r="AH215" s="224">
        <f t="shared" si="188"/>
        <v>0</v>
      </c>
      <c r="AI215" s="223">
        <f t="shared" si="188"/>
        <v>0</v>
      </c>
      <c r="AJ215" s="225">
        <f t="shared" si="189"/>
        <v>0</v>
      </c>
      <c r="AK215" s="243">
        <f t="shared" si="182"/>
        <v>0</v>
      </c>
    </row>
    <row r="216" spans="2:37" ht="22.15" hidden="1" customHeight="1" outlineLevel="1" x14ac:dyDescent="0.25">
      <c r="B216" s="91" t="str">
        <f>IF(Assumptions!$A196="","",Assumptions!$A196)</f>
        <v/>
      </c>
      <c r="C216" s="221" t="str">
        <f>IFERROR(IF(INDEX(Assumptions!$G$177:$G$197,MATCH('Cash flow forecast'!$B216,Assumptions!$A$177:$A$197,0))="Salary",IF(AND('Cash flow forecast'!C$5&gt;=Assumptions!$E196,'Cash flow forecast'!C$5&lt;=Assumptions!$F196),Assumptions!$B196/12,0),IF(AND('Cash flow forecast'!C$5&gt;=Assumptions!$E196,'Cash flow forecast'!C$5&lt;=Assumptions!$F196),Assumptions!$C196*Assumptions!$D196,0)),"")</f>
        <v/>
      </c>
      <c r="D216" s="222" t="str">
        <f>IFERROR(IF(INDEX(Assumptions!$G$177:$G$197,MATCH('Cash flow forecast'!$B216,Assumptions!$A$177:$A$197,0))="Salary",IF(AND('Cash flow forecast'!D$5&gt;=Assumptions!$E196,'Cash flow forecast'!D$5&lt;=Assumptions!$F196),Assumptions!$B196/12,0),IF(AND('Cash flow forecast'!D$5&gt;=Assumptions!$E196,'Cash flow forecast'!D$5&lt;=Assumptions!$F196),Assumptions!$C196*Assumptions!$D196,0)),"")</f>
        <v/>
      </c>
      <c r="E216" s="222" t="str">
        <f>IFERROR(IF(INDEX(Assumptions!$G$177:$G$197,MATCH('Cash flow forecast'!$B216,Assumptions!$A$177:$A$197,0))="Salary",IF(AND('Cash flow forecast'!E$5&gt;=Assumptions!$E196,'Cash flow forecast'!E$5&lt;=Assumptions!$F196),Assumptions!$B196/12,0),IF(AND('Cash flow forecast'!E$5&gt;=Assumptions!$E196,'Cash flow forecast'!E$5&lt;=Assumptions!$F196),Assumptions!$C196*Assumptions!$D196,0)),"")</f>
        <v/>
      </c>
      <c r="F216" s="222" t="str">
        <f>IFERROR(IF(INDEX(Assumptions!$G$177:$G$197,MATCH('Cash flow forecast'!$B216,Assumptions!$A$177:$A$197,0))="Salary",IF(AND('Cash flow forecast'!F$5&gt;=Assumptions!$E196,'Cash flow forecast'!F$5&lt;=Assumptions!$F196),Assumptions!$B196/12,0),IF(AND('Cash flow forecast'!F$5&gt;=Assumptions!$E196,'Cash flow forecast'!F$5&lt;=Assumptions!$F196),Assumptions!$C196*Assumptions!$D196,0)),"")</f>
        <v/>
      </c>
      <c r="G216" s="222" t="str">
        <f>IFERROR(IF(INDEX(Assumptions!$G$177:$G$197,MATCH('Cash flow forecast'!$B216,Assumptions!$A$177:$A$197,0))="Salary",IF(AND('Cash flow forecast'!G$5&gt;=Assumptions!$E196,'Cash flow forecast'!G$5&lt;=Assumptions!$F196),Assumptions!$B196/12,0),IF(AND('Cash flow forecast'!G$5&gt;=Assumptions!$E196,'Cash flow forecast'!G$5&lt;=Assumptions!$F196),Assumptions!$C196*Assumptions!$D196,0)),"")</f>
        <v/>
      </c>
      <c r="H216" s="222" t="str">
        <f>IFERROR(IF(INDEX(Assumptions!$G$177:$G$197,MATCH('Cash flow forecast'!$B216,Assumptions!$A$177:$A$197,0))="Salary",IF(AND('Cash flow forecast'!H$5&gt;=Assumptions!$E196,'Cash flow forecast'!H$5&lt;=Assumptions!$F196),Assumptions!$B196/12,0),IF(AND('Cash flow forecast'!H$5&gt;=Assumptions!$E196,'Cash flow forecast'!H$5&lt;=Assumptions!$F196),Assumptions!$C196*Assumptions!$D196,0)),"")</f>
        <v/>
      </c>
      <c r="I216" s="222" t="str">
        <f>IFERROR(IF(INDEX(Assumptions!$G$177:$G$197,MATCH('Cash flow forecast'!$B216,Assumptions!$A$177:$A$197,0))="Salary",IF(AND('Cash flow forecast'!I$5&gt;=Assumptions!$E196,'Cash flow forecast'!I$5&lt;=Assumptions!$F196),Assumptions!$B196/12,0),IF(AND('Cash flow forecast'!I$5&gt;=Assumptions!$E196,'Cash flow forecast'!I$5&lt;=Assumptions!$F196),Assumptions!$C196*Assumptions!$D196,0)),"")</f>
        <v/>
      </c>
      <c r="J216" s="222" t="str">
        <f>IFERROR(IF(INDEX(Assumptions!$G$177:$G$197,MATCH('Cash flow forecast'!$B216,Assumptions!$A$177:$A$197,0))="Salary",IF(AND('Cash flow forecast'!J$5&gt;=Assumptions!$E196,'Cash flow forecast'!J$5&lt;=Assumptions!$F196),Assumptions!$B196/12,0),IF(AND('Cash flow forecast'!J$5&gt;=Assumptions!$E196,'Cash flow forecast'!J$5&lt;=Assumptions!$F196),Assumptions!$C196*Assumptions!$D196,0)),"")</f>
        <v/>
      </c>
      <c r="K216" s="222" t="str">
        <f>IFERROR(IF(INDEX(Assumptions!$G$177:$G$197,MATCH('Cash flow forecast'!$B216,Assumptions!$A$177:$A$197,0))="Salary",IF(AND('Cash flow forecast'!K$5&gt;=Assumptions!$E196,'Cash flow forecast'!K$5&lt;=Assumptions!$F196),Assumptions!$B196/12,0),IF(AND('Cash flow forecast'!K$5&gt;=Assumptions!$E196,'Cash flow forecast'!K$5&lt;=Assumptions!$F196),Assumptions!$C196*Assumptions!$D196,0)),"")</f>
        <v/>
      </c>
      <c r="L216" s="222" t="str">
        <f>IFERROR(IF(INDEX(Assumptions!$G$177:$G$197,MATCH('Cash flow forecast'!$B216,Assumptions!$A$177:$A$197,0))="Salary",IF(AND('Cash flow forecast'!L$5&gt;=Assumptions!$E196,'Cash flow forecast'!L$5&lt;=Assumptions!$F196),Assumptions!$B196/12,0),IF(AND('Cash flow forecast'!L$5&gt;=Assumptions!$E196,'Cash flow forecast'!L$5&lt;=Assumptions!$F196),Assumptions!$C196*Assumptions!$D196,0)),"")</f>
        <v/>
      </c>
      <c r="M216" s="222" t="str">
        <f>IFERROR(IF(INDEX(Assumptions!$G$177:$G$197,MATCH('Cash flow forecast'!$B216,Assumptions!$A$177:$A$197,0))="Salary",IF(AND('Cash flow forecast'!M$5&gt;=Assumptions!$E196,'Cash flow forecast'!M$5&lt;=Assumptions!$F196),Assumptions!$B196/12,0),IF(AND('Cash flow forecast'!M$5&gt;=Assumptions!$E196,'Cash flow forecast'!M$5&lt;=Assumptions!$F196),Assumptions!$C196*Assumptions!$D196,0)),"")</f>
        <v/>
      </c>
      <c r="N216" s="223" t="str">
        <f>IFERROR(IF(INDEX(Assumptions!$G$177:$G$197,MATCH('Cash flow forecast'!$B216,Assumptions!$A$177:$A$197,0))="Salary",IF(AND('Cash flow forecast'!N$5&gt;=Assumptions!$E196,'Cash flow forecast'!N$5&lt;=Assumptions!$F196),Assumptions!$B196/12,0),IF(AND('Cash flow forecast'!N$5&gt;=Assumptions!$E196,'Cash flow forecast'!N$5&lt;=Assumptions!$F196),Assumptions!$C196*Assumptions!$D196,0)),"")</f>
        <v/>
      </c>
      <c r="O216" s="221" t="str">
        <f>IFERROR(IF(INDEX(Assumptions!$G$177:$G$197,MATCH('Cash flow forecast'!$B216,Assumptions!$A$177:$A$197,0))="Salary",IF(AND('Cash flow forecast'!O$5&gt;=Assumptions!$E196,'Cash flow forecast'!O$5&lt;=Assumptions!$F196),Assumptions!$B196/12,0),IF(AND('Cash flow forecast'!O$5&gt;=Assumptions!$E196,'Cash flow forecast'!O$5&lt;=Assumptions!$F196),Assumptions!$C196*Assumptions!$D196,0)),"")</f>
        <v/>
      </c>
      <c r="P216" s="222" t="str">
        <f>IFERROR(IF(INDEX(Assumptions!$G$177:$G$197,MATCH('Cash flow forecast'!$B216,Assumptions!$A$177:$A$197,0))="Salary",IF(AND('Cash flow forecast'!P$5&gt;=Assumptions!$E196,'Cash flow forecast'!P$5&lt;=Assumptions!$F196),Assumptions!$B196/12,0),IF(AND('Cash flow forecast'!P$5&gt;=Assumptions!$E196,'Cash flow forecast'!P$5&lt;=Assumptions!$F196),Assumptions!$C196*Assumptions!$D196,0)),"")</f>
        <v/>
      </c>
      <c r="Q216" s="222" t="str">
        <f>IFERROR(IF(INDEX(Assumptions!$G$177:$G$197,MATCH('Cash flow forecast'!$B216,Assumptions!$A$177:$A$197,0))="Salary",IF(AND('Cash flow forecast'!Q$5&gt;=Assumptions!$E196,'Cash flow forecast'!Q$5&lt;=Assumptions!$F196),Assumptions!$B196/12,0),IF(AND('Cash flow forecast'!Q$5&gt;=Assumptions!$E196,'Cash flow forecast'!Q$5&lt;=Assumptions!$F196),Assumptions!$C196*Assumptions!$D196,0)),"")</f>
        <v/>
      </c>
      <c r="R216" s="222" t="str">
        <f>IFERROR(IF(INDEX(Assumptions!$G$177:$G$197,MATCH('Cash flow forecast'!$B216,Assumptions!$A$177:$A$197,0))="Salary",IF(AND('Cash flow forecast'!R$5&gt;=Assumptions!$E196,'Cash flow forecast'!R$5&lt;=Assumptions!$F196),Assumptions!$B196/12,0),IF(AND('Cash flow forecast'!R$5&gt;=Assumptions!$E196,'Cash flow forecast'!R$5&lt;=Assumptions!$F196),Assumptions!$C196*Assumptions!$D196,0)),"")</f>
        <v/>
      </c>
      <c r="S216" s="222" t="str">
        <f>IFERROR(IF(INDEX(Assumptions!$G$177:$G$197,MATCH('Cash flow forecast'!$B216,Assumptions!$A$177:$A$197,0))="Salary",IF(AND('Cash flow forecast'!S$5&gt;=Assumptions!$E196,'Cash flow forecast'!S$5&lt;=Assumptions!$F196),Assumptions!$B196/12,0),IF(AND('Cash flow forecast'!S$5&gt;=Assumptions!$E196,'Cash flow forecast'!S$5&lt;=Assumptions!$F196),Assumptions!$C196*Assumptions!$D196,0)),"")</f>
        <v/>
      </c>
      <c r="T216" s="222" t="str">
        <f>IFERROR(IF(INDEX(Assumptions!$G$177:$G$197,MATCH('Cash flow forecast'!$B216,Assumptions!$A$177:$A$197,0))="Salary",IF(AND('Cash flow forecast'!T$5&gt;=Assumptions!$E196,'Cash flow forecast'!T$5&lt;=Assumptions!$F196),Assumptions!$B196/12,0),IF(AND('Cash flow forecast'!T$5&gt;=Assumptions!$E196,'Cash flow forecast'!T$5&lt;=Assumptions!$F196),Assumptions!$C196*Assumptions!$D196,0)),"")</f>
        <v/>
      </c>
      <c r="U216" s="222" t="str">
        <f>IFERROR(IF(INDEX(Assumptions!$G$177:$G$197,MATCH('Cash flow forecast'!$B216,Assumptions!$A$177:$A$197,0))="Salary",IF(AND('Cash flow forecast'!U$5&gt;=Assumptions!$E196,'Cash flow forecast'!U$5&lt;=Assumptions!$F196),Assumptions!$B196/12,0),IF(AND('Cash flow forecast'!U$5&gt;=Assumptions!$E196,'Cash flow forecast'!U$5&lt;=Assumptions!$F196),Assumptions!$C196*Assumptions!$D196,0)),"")</f>
        <v/>
      </c>
      <c r="V216" s="222" t="str">
        <f>IFERROR(IF(INDEX(Assumptions!$G$177:$G$197,MATCH('Cash flow forecast'!$B216,Assumptions!$A$177:$A$197,0))="Salary",IF(AND('Cash flow forecast'!V$5&gt;=Assumptions!$E196,'Cash flow forecast'!V$5&lt;=Assumptions!$F196),Assumptions!$B196/12,0),IF(AND('Cash flow forecast'!V$5&gt;=Assumptions!$E196,'Cash flow forecast'!V$5&lt;=Assumptions!$F196),Assumptions!$C196*Assumptions!$D196,0)),"")</f>
        <v/>
      </c>
      <c r="W216" s="222" t="str">
        <f>IFERROR(IF(INDEX(Assumptions!$G$177:$G$197,MATCH('Cash flow forecast'!$B216,Assumptions!$A$177:$A$197,0))="Salary",IF(AND('Cash flow forecast'!W$5&gt;=Assumptions!$E196,'Cash flow forecast'!W$5&lt;=Assumptions!$F196),Assumptions!$B196/12,0),IF(AND('Cash flow forecast'!W$5&gt;=Assumptions!$E196,'Cash flow forecast'!W$5&lt;=Assumptions!$F196),Assumptions!$C196*Assumptions!$D196,0)),"")</f>
        <v/>
      </c>
      <c r="X216" s="222" t="str">
        <f>IFERROR(IF(INDEX(Assumptions!$G$177:$G$197,MATCH('Cash flow forecast'!$B216,Assumptions!$A$177:$A$197,0))="Salary",IF(AND('Cash flow forecast'!X$5&gt;=Assumptions!$E196,'Cash flow forecast'!X$5&lt;=Assumptions!$F196),Assumptions!$B196/12,0),IF(AND('Cash flow forecast'!X$5&gt;=Assumptions!$E196,'Cash flow forecast'!X$5&lt;=Assumptions!$F196),Assumptions!$C196*Assumptions!$D196,0)),"")</f>
        <v/>
      </c>
      <c r="Y216" s="222" t="str">
        <f>IFERROR(IF(INDEX(Assumptions!$G$177:$G$197,MATCH('Cash flow forecast'!$B216,Assumptions!$A$177:$A$197,0))="Salary",IF(AND('Cash flow forecast'!Y$5&gt;=Assumptions!$E196,'Cash flow forecast'!Y$5&lt;=Assumptions!$F196),Assumptions!$B196/12,0),IF(AND('Cash flow forecast'!Y$5&gt;=Assumptions!$E196,'Cash flow forecast'!Y$5&lt;=Assumptions!$F196),Assumptions!$C196*Assumptions!$D196,0)),"")</f>
        <v/>
      </c>
      <c r="Z216" s="223" t="str">
        <f>IFERROR(IF(INDEX(Assumptions!$G$177:$G$197,MATCH('Cash flow forecast'!$B216,Assumptions!$A$177:$A$197,0))="Salary",IF(AND('Cash flow forecast'!Z$5&gt;=Assumptions!$E196,'Cash flow forecast'!Z$5&lt;=Assumptions!$F196),Assumptions!$B196/12,0),IF(AND('Cash flow forecast'!Z$5&gt;=Assumptions!$E196,'Cash flow forecast'!Z$5&lt;=Assumptions!$F196),Assumptions!$C196*Assumptions!$D196,0)),"")</f>
        <v/>
      </c>
      <c r="AA216" s="221">
        <f t="shared" si="190"/>
        <v>0</v>
      </c>
      <c r="AB216" s="224">
        <f t="shared" si="190"/>
        <v>0</v>
      </c>
      <c r="AC216" s="224">
        <f t="shared" si="190"/>
        <v>0</v>
      </c>
      <c r="AD216" s="223">
        <f t="shared" si="190"/>
        <v>0</v>
      </c>
      <c r="AE216" s="225">
        <f t="shared" si="186"/>
        <v>0</v>
      </c>
      <c r="AF216" s="221">
        <f t="shared" si="188"/>
        <v>0</v>
      </c>
      <c r="AG216" s="224">
        <f t="shared" si="188"/>
        <v>0</v>
      </c>
      <c r="AH216" s="224">
        <f t="shared" si="188"/>
        <v>0</v>
      </c>
      <c r="AI216" s="223">
        <f t="shared" si="188"/>
        <v>0</v>
      </c>
      <c r="AJ216" s="225">
        <f t="shared" si="189"/>
        <v>0</v>
      </c>
      <c r="AK216" s="243">
        <f t="shared" si="182"/>
        <v>0</v>
      </c>
    </row>
    <row r="217" spans="2:37" ht="22.15" hidden="1" customHeight="1" outlineLevel="1" x14ac:dyDescent="0.25">
      <c r="B217" s="91" t="str">
        <f>IF(Assumptions!$A197="","",Assumptions!$A197)</f>
        <v>Test 21</v>
      </c>
      <c r="C217" s="221">
        <f>IFERROR(IF(INDEX(Assumptions!$G$177:$G$197,MATCH('Cash flow forecast'!$B217,Assumptions!$A$177:$A$197,0))="Salary",IF(AND('Cash flow forecast'!C$5&gt;=Assumptions!$E197,'Cash flow forecast'!C$5&lt;=Assumptions!$F197),Assumptions!$B197/12,0),IF(AND('Cash flow forecast'!C$5&gt;=Assumptions!$E197,'Cash flow forecast'!C$5&lt;=Assumptions!$F197),Assumptions!$C197*Assumptions!$D197,0)),"")</f>
        <v>0</v>
      </c>
      <c r="D217" s="222">
        <f>IFERROR(IF(INDEX(Assumptions!$G$177:$G$197,MATCH('Cash flow forecast'!$B217,Assumptions!$A$177:$A$197,0))="Salary",IF(AND('Cash flow forecast'!D$5&gt;=Assumptions!$E197,'Cash flow forecast'!D$5&lt;=Assumptions!$F197),Assumptions!$B197/12,0),IF(AND('Cash flow forecast'!D$5&gt;=Assumptions!$E197,'Cash flow forecast'!D$5&lt;=Assumptions!$F197),Assumptions!$C197*Assumptions!$D197,0)),"")</f>
        <v>0</v>
      </c>
      <c r="E217" s="222">
        <f>IFERROR(IF(INDEX(Assumptions!$G$177:$G$197,MATCH('Cash flow forecast'!$B217,Assumptions!$A$177:$A$197,0))="Salary",IF(AND('Cash flow forecast'!E$5&gt;=Assumptions!$E197,'Cash flow forecast'!E$5&lt;=Assumptions!$F197),Assumptions!$B197/12,0),IF(AND('Cash flow forecast'!E$5&gt;=Assumptions!$E197,'Cash flow forecast'!E$5&lt;=Assumptions!$F197),Assumptions!$C197*Assumptions!$D197,0)),"")</f>
        <v>0</v>
      </c>
      <c r="F217" s="222">
        <f>IFERROR(IF(INDEX(Assumptions!$G$177:$G$197,MATCH('Cash flow forecast'!$B217,Assumptions!$A$177:$A$197,0))="Salary",IF(AND('Cash flow forecast'!F$5&gt;=Assumptions!$E197,'Cash flow forecast'!F$5&lt;=Assumptions!$F197),Assumptions!$B197/12,0),IF(AND('Cash flow forecast'!F$5&gt;=Assumptions!$E197,'Cash flow forecast'!F$5&lt;=Assumptions!$F197),Assumptions!$C197*Assumptions!$D197,0)),"")</f>
        <v>0</v>
      </c>
      <c r="G217" s="222">
        <f>IFERROR(IF(INDEX(Assumptions!$G$177:$G$197,MATCH('Cash flow forecast'!$B217,Assumptions!$A$177:$A$197,0))="Salary",IF(AND('Cash flow forecast'!G$5&gt;=Assumptions!$E197,'Cash flow forecast'!G$5&lt;=Assumptions!$F197),Assumptions!$B197/12,0),IF(AND('Cash flow forecast'!G$5&gt;=Assumptions!$E197,'Cash flow forecast'!G$5&lt;=Assumptions!$F197),Assumptions!$C197*Assumptions!$D197,0)),"")</f>
        <v>0</v>
      </c>
      <c r="H217" s="222">
        <f>IFERROR(IF(INDEX(Assumptions!$G$177:$G$197,MATCH('Cash flow forecast'!$B217,Assumptions!$A$177:$A$197,0))="Salary",IF(AND('Cash flow forecast'!H$5&gt;=Assumptions!$E197,'Cash flow forecast'!H$5&lt;=Assumptions!$F197),Assumptions!$B197/12,0),IF(AND('Cash flow forecast'!H$5&gt;=Assumptions!$E197,'Cash flow forecast'!H$5&lt;=Assumptions!$F197),Assumptions!$C197*Assumptions!$D197,0)),"")</f>
        <v>0</v>
      </c>
      <c r="I217" s="222">
        <f>IFERROR(IF(INDEX(Assumptions!$G$177:$G$197,MATCH('Cash flow forecast'!$B217,Assumptions!$A$177:$A$197,0))="Salary",IF(AND('Cash flow forecast'!I$5&gt;=Assumptions!$E197,'Cash flow forecast'!I$5&lt;=Assumptions!$F197),Assumptions!$B197/12,0),IF(AND('Cash flow forecast'!I$5&gt;=Assumptions!$E197,'Cash flow forecast'!I$5&lt;=Assumptions!$F197),Assumptions!$C197*Assumptions!$D197,0)),"")</f>
        <v>0</v>
      </c>
      <c r="J217" s="222">
        <f>IFERROR(IF(INDEX(Assumptions!$G$177:$G$197,MATCH('Cash flow forecast'!$B217,Assumptions!$A$177:$A$197,0))="Salary",IF(AND('Cash flow forecast'!J$5&gt;=Assumptions!$E197,'Cash flow forecast'!J$5&lt;=Assumptions!$F197),Assumptions!$B197/12,0),IF(AND('Cash flow forecast'!J$5&gt;=Assumptions!$E197,'Cash flow forecast'!J$5&lt;=Assumptions!$F197),Assumptions!$C197*Assumptions!$D197,0)),"")</f>
        <v>0</v>
      </c>
      <c r="K217" s="222">
        <f>IFERROR(IF(INDEX(Assumptions!$G$177:$G$197,MATCH('Cash flow forecast'!$B217,Assumptions!$A$177:$A$197,0))="Salary",IF(AND('Cash flow forecast'!K$5&gt;=Assumptions!$E197,'Cash flow forecast'!K$5&lt;=Assumptions!$F197),Assumptions!$B197/12,0),IF(AND('Cash flow forecast'!K$5&gt;=Assumptions!$E197,'Cash flow forecast'!K$5&lt;=Assumptions!$F197),Assumptions!$C197*Assumptions!$D197,0)),"")</f>
        <v>0</v>
      </c>
      <c r="L217" s="222">
        <f>IFERROR(IF(INDEX(Assumptions!$G$177:$G$197,MATCH('Cash flow forecast'!$B217,Assumptions!$A$177:$A$197,0))="Salary",IF(AND('Cash flow forecast'!L$5&gt;=Assumptions!$E197,'Cash flow forecast'!L$5&lt;=Assumptions!$F197),Assumptions!$B197/12,0),IF(AND('Cash flow forecast'!L$5&gt;=Assumptions!$E197,'Cash flow forecast'!L$5&lt;=Assumptions!$F197),Assumptions!$C197*Assumptions!$D197,0)),"")</f>
        <v>0</v>
      </c>
      <c r="M217" s="222">
        <f>IFERROR(IF(INDEX(Assumptions!$G$177:$G$197,MATCH('Cash flow forecast'!$B217,Assumptions!$A$177:$A$197,0))="Salary",IF(AND('Cash flow forecast'!M$5&gt;=Assumptions!$E197,'Cash flow forecast'!M$5&lt;=Assumptions!$F197),Assumptions!$B197/12,0),IF(AND('Cash flow forecast'!M$5&gt;=Assumptions!$E197,'Cash flow forecast'!M$5&lt;=Assumptions!$F197),Assumptions!$C197*Assumptions!$D197,0)),"")</f>
        <v>0</v>
      </c>
      <c r="N217" s="223">
        <f>IFERROR(IF(INDEX(Assumptions!$G$177:$G$197,MATCH('Cash flow forecast'!$B217,Assumptions!$A$177:$A$197,0))="Salary",IF(AND('Cash flow forecast'!N$5&gt;=Assumptions!$E197,'Cash flow forecast'!N$5&lt;=Assumptions!$F197),Assumptions!$B197/12,0),IF(AND('Cash flow forecast'!N$5&gt;=Assumptions!$E197,'Cash flow forecast'!N$5&lt;=Assumptions!$F197),Assumptions!$C197*Assumptions!$D197,0)),"")</f>
        <v>0</v>
      </c>
      <c r="O217" s="221">
        <f>IFERROR(IF(INDEX(Assumptions!$G$177:$G$197,MATCH('Cash flow forecast'!$B217,Assumptions!$A$177:$A$197,0))="Salary",IF(AND('Cash flow forecast'!O$5&gt;=Assumptions!$E197,'Cash flow forecast'!O$5&lt;=Assumptions!$F197),Assumptions!$B197/12,0),IF(AND('Cash flow forecast'!O$5&gt;=Assumptions!$E197,'Cash flow forecast'!O$5&lt;=Assumptions!$F197),Assumptions!$C197*Assumptions!$D197,0)),"")</f>
        <v>0</v>
      </c>
      <c r="P217" s="222">
        <f>IFERROR(IF(INDEX(Assumptions!$G$177:$G$197,MATCH('Cash flow forecast'!$B217,Assumptions!$A$177:$A$197,0))="Salary",IF(AND('Cash flow forecast'!P$5&gt;=Assumptions!$E197,'Cash flow forecast'!P$5&lt;=Assumptions!$F197),Assumptions!$B197/12,0),IF(AND('Cash flow forecast'!P$5&gt;=Assumptions!$E197,'Cash flow forecast'!P$5&lt;=Assumptions!$F197),Assumptions!$C197*Assumptions!$D197,0)),"")</f>
        <v>0</v>
      </c>
      <c r="Q217" s="222">
        <f>IFERROR(IF(INDEX(Assumptions!$G$177:$G$197,MATCH('Cash flow forecast'!$B217,Assumptions!$A$177:$A$197,0))="Salary",IF(AND('Cash flow forecast'!Q$5&gt;=Assumptions!$E197,'Cash flow forecast'!Q$5&lt;=Assumptions!$F197),Assumptions!$B197/12,0),IF(AND('Cash flow forecast'!Q$5&gt;=Assumptions!$E197,'Cash flow forecast'!Q$5&lt;=Assumptions!$F197),Assumptions!$C197*Assumptions!$D197,0)),"")</f>
        <v>0</v>
      </c>
      <c r="R217" s="222">
        <f>IFERROR(IF(INDEX(Assumptions!$G$177:$G$197,MATCH('Cash flow forecast'!$B217,Assumptions!$A$177:$A$197,0))="Salary",IF(AND('Cash flow forecast'!R$5&gt;=Assumptions!$E197,'Cash flow forecast'!R$5&lt;=Assumptions!$F197),Assumptions!$B197/12,0),IF(AND('Cash flow forecast'!R$5&gt;=Assumptions!$E197,'Cash flow forecast'!R$5&lt;=Assumptions!$F197),Assumptions!$C197*Assumptions!$D197,0)),"")</f>
        <v>0</v>
      </c>
      <c r="S217" s="222">
        <f>IFERROR(IF(INDEX(Assumptions!$G$177:$G$197,MATCH('Cash flow forecast'!$B217,Assumptions!$A$177:$A$197,0))="Salary",IF(AND('Cash flow forecast'!S$5&gt;=Assumptions!$E197,'Cash flow forecast'!S$5&lt;=Assumptions!$F197),Assumptions!$B197/12,0),IF(AND('Cash flow forecast'!S$5&gt;=Assumptions!$E197,'Cash flow forecast'!S$5&lt;=Assumptions!$F197),Assumptions!$C197*Assumptions!$D197,0)),"")</f>
        <v>0</v>
      </c>
      <c r="T217" s="222">
        <f>IFERROR(IF(INDEX(Assumptions!$G$177:$G$197,MATCH('Cash flow forecast'!$B217,Assumptions!$A$177:$A$197,0))="Salary",IF(AND('Cash flow forecast'!T$5&gt;=Assumptions!$E197,'Cash flow forecast'!T$5&lt;=Assumptions!$F197),Assumptions!$B197/12,0),IF(AND('Cash flow forecast'!T$5&gt;=Assumptions!$E197,'Cash flow forecast'!T$5&lt;=Assumptions!$F197),Assumptions!$C197*Assumptions!$D197,0)),"")</f>
        <v>0</v>
      </c>
      <c r="U217" s="222">
        <f>IFERROR(IF(INDEX(Assumptions!$G$177:$G$197,MATCH('Cash flow forecast'!$B217,Assumptions!$A$177:$A$197,0))="Salary",IF(AND('Cash flow forecast'!U$5&gt;=Assumptions!$E197,'Cash flow forecast'!U$5&lt;=Assumptions!$F197),Assumptions!$B197/12,0),IF(AND('Cash flow forecast'!U$5&gt;=Assumptions!$E197,'Cash flow forecast'!U$5&lt;=Assumptions!$F197),Assumptions!$C197*Assumptions!$D197,0)),"")</f>
        <v>0</v>
      </c>
      <c r="V217" s="222">
        <f>IFERROR(IF(INDEX(Assumptions!$G$177:$G$197,MATCH('Cash flow forecast'!$B217,Assumptions!$A$177:$A$197,0))="Salary",IF(AND('Cash flow forecast'!V$5&gt;=Assumptions!$E197,'Cash flow forecast'!V$5&lt;=Assumptions!$F197),Assumptions!$B197/12,0),IF(AND('Cash flow forecast'!V$5&gt;=Assumptions!$E197,'Cash flow forecast'!V$5&lt;=Assumptions!$F197),Assumptions!$C197*Assumptions!$D197,0)),"")</f>
        <v>0</v>
      </c>
      <c r="W217" s="222">
        <f>IFERROR(IF(INDEX(Assumptions!$G$177:$G$197,MATCH('Cash flow forecast'!$B217,Assumptions!$A$177:$A$197,0))="Salary",IF(AND('Cash flow forecast'!W$5&gt;=Assumptions!$E197,'Cash flow forecast'!W$5&lt;=Assumptions!$F197),Assumptions!$B197/12,0),IF(AND('Cash flow forecast'!W$5&gt;=Assumptions!$E197,'Cash flow forecast'!W$5&lt;=Assumptions!$F197),Assumptions!$C197*Assumptions!$D197,0)),"")</f>
        <v>0</v>
      </c>
      <c r="X217" s="222">
        <f>IFERROR(IF(INDEX(Assumptions!$G$177:$G$197,MATCH('Cash flow forecast'!$B217,Assumptions!$A$177:$A$197,0))="Salary",IF(AND('Cash flow forecast'!X$5&gt;=Assumptions!$E197,'Cash flow forecast'!X$5&lt;=Assumptions!$F197),Assumptions!$B197/12,0),IF(AND('Cash flow forecast'!X$5&gt;=Assumptions!$E197,'Cash flow forecast'!X$5&lt;=Assumptions!$F197),Assumptions!$C197*Assumptions!$D197,0)),"")</f>
        <v>0</v>
      </c>
      <c r="Y217" s="222">
        <f>IFERROR(IF(INDEX(Assumptions!$G$177:$G$197,MATCH('Cash flow forecast'!$B217,Assumptions!$A$177:$A$197,0))="Salary",IF(AND('Cash flow forecast'!Y$5&gt;=Assumptions!$E197,'Cash flow forecast'!Y$5&lt;=Assumptions!$F197),Assumptions!$B197/12,0),IF(AND('Cash flow forecast'!Y$5&gt;=Assumptions!$E197,'Cash flow forecast'!Y$5&lt;=Assumptions!$F197),Assumptions!$C197*Assumptions!$D197,0)),"")</f>
        <v>0</v>
      </c>
      <c r="Z217" s="223">
        <f>IFERROR(IF(INDEX(Assumptions!$G$177:$G$197,MATCH('Cash flow forecast'!$B217,Assumptions!$A$177:$A$197,0))="Salary",IF(AND('Cash flow forecast'!Z$5&gt;=Assumptions!$E197,'Cash flow forecast'!Z$5&lt;=Assumptions!$F197),Assumptions!$B197/12,0),IF(AND('Cash flow forecast'!Z$5&gt;=Assumptions!$E197,'Cash flow forecast'!Z$5&lt;=Assumptions!$F197),Assumptions!$C197*Assumptions!$D197,0)),"")</f>
        <v>0</v>
      </c>
      <c r="AA217" s="221">
        <f t="shared" si="190"/>
        <v>0</v>
      </c>
      <c r="AB217" s="224">
        <f t="shared" si="190"/>
        <v>0</v>
      </c>
      <c r="AC217" s="224">
        <f t="shared" si="190"/>
        <v>0</v>
      </c>
      <c r="AD217" s="223">
        <f t="shared" si="190"/>
        <v>0</v>
      </c>
      <c r="AE217" s="225">
        <f t="shared" si="186"/>
        <v>0</v>
      </c>
      <c r="AF217" s="221">
        <f t="shared" si="188"/>
        <v>0</v>
      </c>
      <c r="AG217" s="224">
        <f t="shared" si="188"/>
        <v>0</v>
      </c>
      <c r="AH217" s="224">
        <f t="shared" si="188"/>
        <v>0</v>
      </c>
      <c r="AI217" s="223">
        <f t="shared" si="188"/>
        <v>0</v>
      </c>
      <c r="AJ217" s="225">
        <f t="shared" si="189"/>
        <v>0</v>
      </c>
      <c r="AK217" s="243">
        <f t="shared" si="182"/>
        <v>0</v>
      </c>
    </row>
    <row r="218" spans="2:37" ht="22.15" customHeight="1" collapsed="1" x14ac:dyDescent="0.25">
      <c r="B218" s="96" t="s">
        <v>190</v>
      </c>
      <c r="C218" s="156">
        <f>SUM(C197:C217)</f>
        <v>7200</v>
      </c>
      <c r="D218" s="157">
        <f t="shared" ref="D218" si="191">SUM(D197:D217)</f>
        <v>7200</v>
      </c>
      <c r="E218" s="157">
        <f t="shared" ref="E218" si="192">SUM(E197:E217)</f>
        <v>7200</v>
      </c>
      <c r="F218" s="157">
        <f t="shared" ref="F218" si="193">SUM(F197:F217)</f>
        <v>16033.333333333334</v>
      </c>
      <c r="G218" s="157">
        <f t="shared" ref="G218" si="194">SUM(G197:G217)</f>
        <v>18033.333333333336</v>
      </c>
      <c r="H218" s="157">
        <f t="shared" ref="H218" si="195">SUM(H197:H217)</f>
        <v>34700</v>
      </c>
      <c r="I218" s="157">
        <f t="shared" ref="I218" si="196">SUM(I197:I217)</f>
        <v>38866.666666666664</v>
      </c>
      <c r="J218" s="157">
        <f t="shared" ref="J218" si="197">SUM(J197:J217)</f>
        <v>43033.333333333328</v>
      </c>
      <c r="K218" s="157">
        <f t="shared" ref="K218" si="198">SUM(K197:K217)</f>
        <v>43033.333333333328</v>
      </c>
      <c r="L218" s="157">
        <f t="shared" ref="L218" si="199">SUM(L197:L217)</f>
        <v>43033.333333333328</v>
      </c>
      <c r="M218" s="157">
        <f t="shared" ref="M218" si="200">SUM(M197:M217)</f>
        <v>43033.333333333328</v>
      </c>
      <c r="N218" s="158">
        <f t="shared" ref="N218" si="201">SUM(N197:N217)</f>
        <v>52116.666666666664</v>
      </c>
      <c r="O218" s="156">
        <f t="shared" ref="O218" si="202">SUM(O197:O217)</f>
        <v>52116.666666666664</v>
      </c>
      <c r="P218" s="157">
        <f t="shared" ref="P218" si="203">SUM(P197:P217)</f>
        <v>52116.666666666664</v>
      </c>
      <c r="Q218" s="157">
        <f t="shared" ref="Q218" si="204">SUM(Q197:Q217)</f>
        <v>52116.666666666664</v>
      </c>
      <c r="R218" s="157">
        <f t="shared" ref="R218" si="205">SUM(R197:R217)</f>
        <v>52116.666666666664</v>
      </c>
      <c r="S218" s="157">
        <f t="shared" ref="S218" si="206">SUM(S197:S217)</f>
        <v>52116.666666666664</v>
      </c>
      <c r="T218" s="157">
        <f t="shared" ref="T218" si="207">SUM(T197:T217)</f>
        <v>52116.666666666664</v>
      </c>
      <c r="U218" s="157">
        <f t="shared" ref="U218" si="208">SUM(U197:U217)</f>
        <v>52116.666666666664</v>
      </c>
      <c r="V218" s="157">
        <f t="shared" ref="V218" si="209">SUM(V197:V217)</f>
        <v>52116.666666666664</v>
      </c>
      <c r="W218" s="157">
        <f t="shared" ref="W218" si="210">SUM(W197:W217)</f>
        <v>52116.666666666664</v>
      </c>
      <c r="X218" s="157">
        <f t="shared" ref="X218" si="211">SUM(X197:X217)</f>
        <v>52116.666666666664</v>
      </c>
      <c r="Y218" s="157">
        <f t="shared" ref="Y218" si="212">SUM(Y197:Y217)</f>
        <v>52116.666666666664</v>
      </c>
      <c r="Z218" s="158">
        <f t="shared" ref="Z218" si="213">SUM(Z197:Z217)</f>
        <v>52116.666666666664</v>
      </c>
      <c r="AA218" s="156">
        <f t="shared" ref="AA218" si="214">SUM(AA197:AA217)</f>
        <v>102349.99999999999</v>
      </c>
      <c r="AB218" s="157">
        <f t="shared" ref="AB218" si="215">SUM(AB197:AB217)</f>
        <v>30433.333333333336</v>
      </c>
      <c r="AC218" s="157">
        <f t="shared" ref="AC218" si="216">SUM(AC197:AC217)</f>
        <v>91600.000000000015</v>
      </c>
      <c r="AD218" s="158">
        <f t="shared" ref="AD218" si="217">SUM(AD197:AD217)</f>
        <v>129100</v>
      </c>
      <c r="AE218" s="159">
        <f t="shared" ref="AE218" si="218">SUM(AE197:AE217)</f>
        <v>353483.33333333331</v>
      </c>
      <c r="AF218" s="156">
        <f t="shared" ref="AF218" si="219">SUM(AF197:AF217)</f>
        <v>156350</v>
      </c>
      <c r="AG218" s="157">
        <f t="shared" ref="AG218" si="220">SUM(AG197:AG217)</f>
        <v>156350</v>
      </c>
      <c r="AH218" s="157">
        <f t="shared" ref="AH218" si="221">SUM(AH197:AH217)</f>
        <v>156350</v>
      </c>
      <c r="AI218" s="158">
        <f t="shared" ref="AI218" si="222">SUM(AI197:AI217)</f>
        <v>156350</v>
      </c>
      <c r="AJ218" s="159">
        <f t="shared" ref="AJ218" si="223">SUM(AJ197:AJ217)</f>
        <v>625400</v>
      </c>
      <c r="AK218" s="244">
        <f t="shared" si="182"/>
        <v>0.95748648498525946</v>
      </c>
    </row>
    <row r="219" spans="2:37" ht="22.15" customHeight="1" x14ac:dyDescent="0.25"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  <c r="AC219" s="224"/>
      <c r="AD219" s="224"/>
      <c r="AE219" s="224"/>
      <c r="AF219" s="224"/>
      <c r="AG219" s="224"/>
      <c r="AH219" s="224"/>
      <c r="AI219" s="224"/>
      <c r="AJ219" s="224"/>
      <c r="AK219" s="241"/>
    </row>
    <row r="220" spans="2:37" ht="22.15" customHeight="1" x14ac:dyDescent="0.25">
      <c r="B220" s="115" t="s">
        <v>192</v>
      </c>
      <c r="C220" s="137">
        <f>C179+C195+C218+C191</f>
        <v>9489.15</v>
      </c>
      <c r="D220" s="138">
        <f t="shared" ref="D220:AJ220" si="224">D179+D195+D218+D191</f>
        <v>8269.33</v>
      </c>
      <c r="E220" s="138">
        <f t="shared" si="224"/>
        <v>8269.33</v>
      </c>
      <c r="F220" s="138">
        <f t="shared" si="224"/>
        <v>17407.663333333334</v>
      </c>
      <c r="G220" s="138">
        <f t="shared" si="224"/>
        <v>19402.663333333338</v>
      </c>
      <c r="H220" s="138">
        <f t="shared" si="224"/>
        <v>36094.33</v>
      </c>
      <c r="I220" s="138">
        <f t="shared" si="224"/>
        <v>40735.996666666666</v>
      </c>
      <c r="J220" s="138">
        <f t="shared" si="224"/>
        <v>44902.66333333333</v>
      </c>
      <c r="K220" s="138">
        <f t="shared" si="224"/>
        <v>44902.66333333333</v>
      </c>
      <c r="L220" s="138">
        <f t="shared" si="224"/>
        <v>44902.66333333333</v>
      </c>
      <c r="M220" s="138">
        <f t="shared" si="224"/>
        <v>44902.66333333333</v>
      </c>
      <c r="N220" s="139">
        <f t="shared" si="224"/>
        <v>53985.996666666666</v>
      </c>
      <c r="O220" s="138">
        <f t="shared" si="224"/>
        <v>55205.816666666666</v>
      </c>
      <c r="P220" s="138">
        <f t="shared" si="224"/>
        <v>53985.996666666666</v>
      </c>
      <c r="Q220" s="138">
        <f t="shared" si="224"/>
        <v>53985.996666666666</v>
      </c>
      <c r="R220" s="138">
        <f t="shared" si="224"/>
        <v>53990.996666666666</v>
      </c>
      <c r="S220" s="138">
        <f t="shared" si="224"/>
        <v>53985.996666666666</v>
      </c>
      <c r="T220" s="138">
        <f t="shared" si="224"/>
        <v>54010.996666666666</v>
      </c>
      <c r="U220" s="138">
        <f t="shared" si="224"/>
        <v>53985.996666666666</v>
      </c>
      <c r="V220" s="138">
        <f t="shared" si="224"/>
        <v>53985.996666666666</v>
      </c>
      <c r="W220" s="138">
        <f t="shared" si="224"/>
        <v>53985.996666666666</v>
      </c>
      <c r="X220" s="138">
        <f t="shared" si="224"/>
        <v>53985.996666666666</v>
      </c>
      <c r="Y220" s="138">
        <f t="shared" si="224"/>
        <v>53985.996666666666</v>
      </c>
      <c r="Z220" s="138">
        <f t="shared" si="224"/>
        <v>53985.996666666666</v>
      </c>
      <c r="AA220" s="137">
        <f t="shared" si="224"/>
        <v>108377.80999999998</v>
      </c>
      <c r="AB220" s="138">
        <f t="shared" si="224"/>
        <v>33946.323333333334</v>
      </c>
      <c r="AC220" s="138">
        <f t="shared" si="224"/>
        <v>96232.99000000002</v>
      </c>
      <c r="AD220" s="139">
        <f t="shared" si="224"/>
        <v>134707.99</v>
      </c>
      <c r="AE220" s="140">
        <f t="shared" si="224"/>
        <v>373265.11333333328</v>
      </c>
      <c r="AF220" s="137">
        <f t="shared" si="224"/>
        <v>163177.81</v>
      </c>
      <c r="AG220" s="138">
        <f t="shared" si="224"/>
        <v>161962.99</v>
      </c>
      <c r="AH220" s="138">
        <f t="shared" si="224"/>
        <v>161982.99</v>
      </c>
      <c r="AI220" s="139">
        <f t="shared" si="224"/>
        <v>161957.99</v>
      </c>
      <c r="AJ220" s="140">
        <f t="shared" si="224"/>
        <v>649081.78</v>
      </c>
      <c r="AK220" s="248">
        <f t="shared" si="182"/>
        <v>1</v>
      </c>
    </row>
    <row r="221" spans="2:37" ht="22.15" customHeight="1" x14ac:dyDescent="0.25"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  <c r="AC221" s="224"/>
      <c r="AD221" s="224"/>
      <c r="AE221" s="224"/>
      <c r="AF221" s="224"/>
      <c r="AG221" s="224"/>
      <c r="AH221" s="224"/>
      <c r="AI221" s="224"/>
      <c r="AJ221" s="224"/>
    </row>
    <row r="222" spans="2:37" ht="22.15" customHeight="1" thickBot="1" x14ac:dyDescent="0.3">
      <c r="B222" s="115" t="s">
        <v>193</v>
      </c>
      <c r="C222" s="230">
        <f>C154-C220</f>
        <v>68895.550000000017</v>
      </c>
      <c r="D222" s="231">
        <f t="shared" ref="D222:AJ222" si="225">D154-D220</f>
        <v>-8205.5049999999992</v>
      </c>
      <c r="E222" s="231">
        <f t="shared" si="225"/>
        <v>19122.845000000001</v>
      </c>
      <c r="F222" s="231">
        <f t="shared" si="225"/>
        <v>-16935.358333333334</v>
      </c>
      <c r="G222" s="231">
        <f t="shared" si="225"/>
        <v>-18929.035977500003</v>
      </c>
      <c r="H222" s="231">
        <f t="shared" si="225"/>
        <v>-35491.724969232229</v>
      </c>
      <c r="I222" s="231">
        <f t="shared" si="225"/>
        <v>7692.5538848519864</v>
      </c>
      <c r="J222" s="231">
        <f t="shared" si="225"/>
        <v>-44297.386888375826</v>
      </c>
      <c r="K222" s="231">
        <f t="shared" si="225"/>
        <v>-16967.693095220486</v>
      </c>
      <c r="L222" s="231">
        <f t="shared" si="225"/>
        <v>-44294.693875162018</v>
      </c>
      <c r="M222" s="231">
        <f t="shared" si="225"/>
        <v>-44293.339200854643</v>
      </c>
      <c r="N222" s="232">
        <f t="shared" si="225"/>
        <v>-53375.312378125884</v>
      </c>
      <c r="O222" s="230">
        <f t="shared" si="225"/>
        <v>3230.8457873578736</v>
      </c>
      <c r="P222" s="231">
        <f t="shared" si="225"/>
        <v>-53372.575509907656</v>
      </c>
      <c r="Q222" s="231">
        <f t="shared" si="225"/>
        <v>-26042.848741930262</v>
      </c>
      <c r="R222" s="231">
        <f t="shared" si="225"/>
        <v>-53374.816380553639</v>
      </c>
      <c r="S222" s="231">
        <f t="shared" si="225"/>
        <v>-53368.428397456148</v>
      </c>
      <c r="T222" s="231">
        <f t="shared" si="225"/>
        <v>-53392.03476414999</v>
      </c>
      <c r="U222" s="231">
        <f t="shared" si="225"/>
        <v>-5541.0229519800268</v>
      </c>
      <c r="V222" s="231">
        <f t="shared" si="225"/>
        <v>-53364.230432122749</v>
      </c>
      <c r="W222" s="231">
        <f t="shared" si="225"/>
        <v>-26034.469675585227</v>
      </c>
      <c r="X222" s="231">
        <f t="shared" si="225"/>
        <v>-12368.87815320411</v>
      </c>
      <c r="Y222" s="231">
        <f t="shared" si="225"/>
        <v>-53359.980835644317</v>
      </c>
      <c r="Z222" s="232">
        <f t="shared" si="225"/>
        <v>-53358.552693398226</v>
      </c>
      <c r="AA222" s="230">
        <f t="shared" si="225"/>
        <v>-28773.101578980524</v>
      </c>
      <c r="AB222" s="231">
        <f t="shared" si="225"/>
        <v>-6018.0183333333262</v>
      </c>
      <c r="AC222" s="231">
        <f t="shared" si="225"/>
        <v>-46728.207061880239</v>
      </c>
      <c r="AD222" s="232">
        <f t="shared" si="225"/>
        <v>-105559.77385875833</v>
      </c>
      <c r="AE222" s="233">
        <f t="shared" si="225"/>
        <v>-187079.10083295242</v>
      </c>
      <c r="AF222" s="230">
        <f t="shared" si="225"/>
        <v>-103615.33774168466</v>
      </c>
      <c r="AG222" s="231">
        <f t="shared" si="225"/>
        <v>-133173.19063239155</v>
      </c>
      <c r="AH222" s="231">
        <f t="shared" si="225"/>
        <v>-112429.13611358617</v>
      </c>
      <c r="AI222" s="232">
        <f t="shared" si="225"/>
        <v>-91767.578260912094</v>
      </c>
      <c r="AJ222" s="233">
        <f t="shared" si="225"/>
        <v>-440985.2427485747</v>
      </c>
    </row>
    <row r="223" spans="2:37" ht="22.15" customHeight="1" thickTop="1" x14ac:dyDescent="0.25"/>
  </sheetData>
  <conditionalFormatting sqref="C58:AJ58">
    <cfRule type="cellIs" dxfId="25" priority="23" operator="lessThan">
      <formula>0</formula>
    </cfRule>
  </conditionalFormatting>
  <conditionalFormatting sqref="C106:AJ106">
    <cfRule type="cellIs" dxfId="24" priority="14" operator="lessThan">
      <formula>0</formula>
    </cfRule>
  </conditionalFormatting>
  <conditionalFormatting sqref="C154:AJ154">
    <cfRule type="cellIs" dxfId="23" priority="6" operator="lessThan">
      <formula>0</formula>
    </cfRule>
  </conditionalFormatting>
  <conditionalFormatting sqref="C220:AJ220">
    <cfRule type="cellIs" dxfId="22" priority="1" operator="lessThan">
      <formula>0</formula>
    </cfRule>
  </conditionalFormatting>
  <conditionalFormatting sqref="AE12:AE35 AE37 AE39:AE44 AE47 AE56">
    <cfRule type="cellIs" dxfId="21" priority="31" operator="lessThan">
      <formula>0</formula>
    </cfRule>
  </conditionalFormatting>
  <conditionalFormatting sqref="AE64:AE69 AE71:AE76 AE78:AE83 AE85 AE87:AE92 AE95 AE104">
    <cfRule type="cellIs" dxfId="20" priority="20" operator="lessThan">
      <formula>0</formula>
    </cfRule>
  </conditionalFormatting>
  <conditionalFormatting sqref="AE112:AE117 AE119:AE124 AE126:AE131 AE133 AE135:AE140 AE143 AE152">
    <cfRule type="cellIs" dxfId="19" priority="12" operator="lessThan">
      <formula>0</formula>
    </cfRule>
  </conditionalFormatting>
  <conditionalFormatting sqref="AJ12:AJ35">
    <cfRule type="cellIs" dxfId="18" priority="4" operator="lessThan">
      <formula>0</formula>
    </cfRule>
  </conditionalFormatting>
  <conditionalFormatting sqref="AJ39:AJ44">
    <cfRule type="cellIs" dxfId="17" priority="21" operator="lessThan">
      <formula>0</formula>
    </cfRule>
  </conditionalFormatting>
  <conditionalFormatting sqref="AJ47">
    <cfRule type="cellIs" dxfId="16" priority="25" operator="lessThan">
      <formula>0</formula>
    </cfRule>
  </conditionalFormatting>
  <conditionalFormatting sqref="AJ56">
    <cfRule type="cellIs" dxfId="15" priority="24" operator="lessThan">
      <formula>0</formula>
    </cfRule>
  </conditionalFormatting>
  <conditionalFormatting sqref="AJ64:AJ69">
    <cfRule type="cellIs" dxfId="14" priority="19" operator="lessThan">
      <formula>0</formula>
    </cfRule>
  </conditionalFormatting>
  <conditionalFormatting sqref="AJ71:AJ76">
    <cfRule type="cellIs" dxfId="13" priority="18" operator="lessThan">
      <formula>0</formula>
    </cfRule>
  </conditionalFormatting>
  <conditionalFormatting sqref="AJ78:AJ83">
    <cfRule type="cellIs" dxfId="12" priority="17" operator="lessThan">
      <formula>0</formula>
    </cfRule>
  </conditionalFormatting>
  <conditionalFormatting sqref="AJ87:AJ92">
    <cfRule type="cellIs" dxfId="11" priority="13" operator="lessThan">
      <formula>0</formula>
    </cfRule>
  </conditionalFormatting>
  <conditionalFormatting sqref="AJ95">
    <cfRule type="cellIs" dxfId="10" priority="16" operator="lessThan">
      <formula>0</formula>
    </cfRule>
  </conditionalFormatting>
  <conditionalFormatting sqref="AJ104">
    <cfRule type="cellIs" dxfId="9" priority="15" operator="lessThan">
      <formula>0</formula>
    </cfRule>
  </conditionalFormatting>
  <conditionalFormatting sqref="AJ112:AJ117">
    <cfRule type="cellIs" dxfId="8" priority="11" operator="lessThan">
      <formula>0</formula>
    </cfRule>
  </conditionalFormatting>
  <conditionalFormatting sqref="AJ119:AJ124">
    <cfRule type="cellIs" dxfId="7" priority="10" operator="lessThan">
      <formula>0</formula>
    </cfRule>
  </conditionalFormatting>
  <conditionalFormatting sqref="AJ126:AJ131">
    <cfRule type="cellIs" dxfId="6" priority="9" operator="lessThan">
      <formula>0</formula>
    </cfRule>
  </conditionalFormatting>
  <conditionalFormatting sqref="AJ135:AJ140">
    <cfRule type="cellIs" dxfId="5" priority="5" operator="lessThan">
      <formula>0</formula>
    </cfRule>
  </conditionalFormatting>
  <conditionalFormatting sqref="AJ143">
    <cfRule type="cellIs" dxfId="4" priority="8" operator="lessThan">
      <formula>0</formula>
    </cfRule>
  </conditionalFormatting>
  <conditionalFormatting sqref="AJ152">
    <cfRule type="cellIs" dxfId="3" priority="7" operator="lessThan">
      <formula>0</formula>
    </cfRule>
  </conditionalFormatting>
  <conditionalFormatting sqref="AK12">
    <cfRule type="cellIs" dxfId="2" priority="28" operator="lessThan">
      <formula>0</formula>
    </cfRule>
  </conditionalFormatting>
  <conditionalFormatting sqref="AK21">
    <cfRule type="cellIs" dxfId="1" priority="3" operator="lessThan">
      <formula>0</formula>
    </cfRule>
  </conditionalFormatting>
  <conditionalFormatting sqref="AK30">
    <cfRule type="cellIs" dxfId="0" priority="2" operator="lessThan">
      <formula>0</formula>
    </cfRule>
  </conditionalFormatting>
  <dataValidations disablePrompts="1" count="2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000-000004000000}"/>
    <dataValidation allowBlank="1" showInputMessage="1" showErrorMessage="1" prompt="Enter the cash receipts items for each month._x000a__x000a_For Returns and allowances, enter the values as positive numbers._x000a_" sqref="B7 B60 B108 B156" xr:uid="{00000000-0002-0000-0000-000008000000}"/>
  </dataValidations>
  <printOptions horizontalCentered="1"/>
  <pageMargins left="0.3" right="0.3" top="0.5" bottom="0.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2C15-E306-44E7-94D1-60B62F065078}">
  <dimension ref="A1:T48"/>
  <sheetViews>
    <sheetView workbookViewId="0">
      <selection activeCell="D7" sqref="D7"/>
    </sheetView>
  </sheetViews>
  <sheetFormatPr defaultRowHeight="15.75" x14ac:dyDescent="0.3"/>
  <cols>
    <col min="1" max="1" width="14.5546875" bestFit="1" customWidth="1"/>
    <col min="2" max="2" width="14.6640625" bestFit="1" customWidth="1"/>
    <col min="3" max="3" width="13.88671875" bestFit="1" customWidth="1"/>
    <col min="4" max="4" width="14" bestFit="1" customWidth="1"/>
    <col min="5" max="6" width="13.88671875" bestFit="1" customWidth="1"/>
    <col min="7" max="7" width="12.33203125" bestFit="1" customWidth="1"/>
    <col min="8" max="8" width="13.88671875" bestFit="1" customWidth="1"/>
    <col min="9" max="9" width="12.33203125" bestFit="1" customWidth="1"/>
    <col min="10" max="10" width="13.88671875" bestFit="1" customWidth="1"/>
    <col min="11" max="11" width="12.33203125" bestFit="1" customWidth="1"/>
    <col min="12" max="12" width="13.88671875" bestFit="1" customWidth="1"/>
    <col min="13" max="13" width="12.33203125" bestFit="1" customWidth="1"/>
    <col min="14" max="14" width="13.88671875" bestFit="1" customWidth="1"/>
    <col min="15" max="15" width="12.33203125" bestFit="1" customWidth="1"/>
    <col min="16" max="16" width="13.88671875" bestFit="1" customWidth="1"/>
    <col min="17" max="17" width="12.33203125" bestFit="1" customWidth="1"/>
    <col min="18" max="18" width="13.88671875" bestFit="1" customWidth="1"/>
    <col min="19" max="19" width="12.33203125" bestFit="1" customWidth="1"/>
    <col min="20" max="20" width="13.88671875" bestFit="1" customWidth="1"/>
  </cols>
  <sheetData>
    <row r="1" spans="2:3" x14ac:dyDescent="0.3">
      <c r="C1" t="s">
        <v>1</v>
      </c>
    </row>
    <row r="2" spans="2:3" x14ac:dyDescent="0.3">
      <c r="B2" t="s">
        <v>50</v>
      </c>
      <c r="C2" s="20">
        <v>1</v>
      </c>
    </row>
    <row r="3" spans="2:3" x14ac:dyDescent="0.3">
      <c r="B3" t="s">
        <v>50</v>
      </c>
      <c r="C3" s="21">
        <f>C2+1</f>
        <v>2</v>
      </c>
    </row>
    <row r="4" spans="2:3" x14ac:dyDescent="0.3">
      <c r="B4" t="s">
        <v>50</v>
      </c>
      <c r="C4" s="21">
        <f t="shared" ref="C4:C13" si="0">C3+1</f>
        <v>3</v>
      </c>
    </row>
    <row r="5" spans="2:3" x14ac:dyDescent="0.3">
      <c r="B5" t="s">
        <v>51</v>
      </c>
      <c r="C5" s="21">
        <f t="shared" si="0"/>
        <v>4</v>
      </c>
    </row>
    <row r="6" spans="2:3" x14ac:dyDescent="0.3">
      <c r="B6" t="s">
        <v>51</v>
      </c>
      <c r="C6" s="21">
        <f t="shared" si="0"/>
        <v>5</v>
      </c>
    </row>
    <row r="7" spans="2:3" x14ac:dyDescent="0.3">
      <c r="B7" t="s">
        <v>51</v>
      </c>
      <c r="C7" s="21">
        <f t="shared" si="0"/>
        <v>6</v>
      </c>
    </row>
    <row r="8" spans="2:3" x14ac:dyDescent="0.3">
      <c r="B8" t="s">
        <v>52</v>
      </c>
      <c r="C8" s="21">
        <f t="shared" si="0"/>
        <v>7</v>
      </c>
    </row>
    <row r="9" spans="2:3" x14ac:dyDescent="0.3">
      <c r="B9" t="s">
        <v>52</v>
      </c>
      <c r="C9" s="21">
        <f t="shared" si="0"/>
        <v>8</v>
      </c>
    </row>
    <row r="10" spans="2:3" x14ac:dyDescent="0.3">
      <c r="B10" t="s">
        <v>52</v>
      </c>
      <c r="C10" s="21">
        <f t="shared" si="0"/>
        <v>9</v>
      </c>
    </row>
    <row r="11" spans="2:3" x14ac:dyDescent="0.3">
      <c r="B11" t="s">
        <v>53</v>
      </c>
      <c r="C11" s="21">
        <f t="shared" si="0"/>
        <v>10</v>
      </c>
    </row>
    <row r="12" spans="2:3" x14ac:dyDescent="0.3">
      <c r="B12" t="s">
        <v>53</v>
      </c>
      <c r="C12" s="21">
        <f t="shared" si="0"/>
        <v>11</v>
      </c>
    </row>
    <row r="13" spans="2:3" x14ac:dyDescent="0.3">
      <c r="B13" t="s">
        <v>53</v>
      </c>
      <c r="C13" s="21">
        <f t="shared" si="0"/>
        <v>12</v>
      </c>
    </row>
    <row r="20" spans="1:20" x14ac:dyDescent="0.3">
      <c r="A20" s="39" t="s">
        <v>31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2" spans="1:20" x14ac:dyDescent="0.3">
      <c r="A22" s="38" t="s">
        <v>126</v>
      </c>
      <c r="B22" s="38" t="s">
        <v>127</v>
      </c>
      <c r="C22" s="38" t="s">
        <v>128</v>
      </c>
      <c r="E22" s="38" t="s">
        <v>125</v>
      </c>
      <c r="F22" s="38" t="s">
        <v>129</v>
      </c>
    </row>
    <row r="23" spans="1:20" x14ac:dyDescent="0.3">
      <c r="A23">
        <f>C23*B23</f>
        <v>5</v>
      </c>
      <c r="B23">
        <f>Assumptions!$B$57</f>
        <v>1</v>
      </c>
      <c r="C23">
        <f>Assumptions!$B$51</f>
        <v>5</v>
      </c>
      <c r="D23" t="s">
        <v>122</v>
      </c>
      <c r="E23" s="37">
        <f>Assumptions!$B$2</f>
        <v>45809</v>
      </c>
      <c r="F23" s="37">
        <f>EDATE(E23,Assumptions!$B$58)</f>
        <v>45992</v>
      </c>
      <c r="G23" s="37">
        <f>EDATE(F23,Assumptions!$B$58)</f>
        <v>46174</v>
      </c>
      <c r="H23" s="37">
        <f>EDATE(G23,Assumptions!$B$58)</f>
        <v>46357</v>
      </c>
      <c r="I23" s="37">
        <f>EDATE(H23,Assumptions!$B$58)</f>
        <v>46539</v>
      </c>
      <c r="J23" s="37">
        <f>EDATE(I23,Assumptions!$B$58)</f>
        <v>46722</v>
      </c>
      <c r="K23" s="37">
        <f>EDATE(J23,Assumptions!$B$58)</f>
        <v>46905</v>
      </c>
      <c r="L23" s="37">
        <f>EDATE(K23,Assumptions!$B$58)</f>
        <v>47088</v>
      </c>
      <c r="M23" s="37">
        <f>EDATE(L23,Assumptions!$B$58)</f>
        <v>47270</v>
      </c>
      <c r="N23" s="37">
        <f>EDATE(M23,Assumptions!$B$58)</f>
        <v>47453</v>
      </c>
      <c r="O23" s="37">
        <f>EDATE(N23,Assumptions!$B$58)</f>
        <v>47635</v>
      </c>
      <c r="P23" s="37">
        <f>EDATE(O23,Assumptions!$B$58)</f>
        <v>47818</v>
      </c>
      <c r="Q23" s="37">
        <f>EDATE(P23,Assumptions!$B$58)</f>
        <v>48000</v>
      </c>
      <c r="R23" s="37">
        <f>EDATE(Q23,Assumptions!$B$58)</f>
        <v>48183</v>
      </c>
      <c r="S23" s="37">
        <f>EDATE(R23,Assumptions!$B$58)</f>
        <v>48366</v>
      </c>
      <c r="T23" s="37">
        <f>EDATE(S23,Assumptions!$B$58)</f>
        <v>48549</v>
      </c>
    </row>
    <row r="24" spans="1:20" x14ac:dyDescent="0.3">
      <c r="E24" s="20">
        <f>$A$23</f>
        <v>5</v>
      </c>
      <c r="F24" s="20">
        <f t="shared" ref="F24:T24" si="1">$A$23</f>
        <v>5</v>
      </c>
      <c r="G24" s="20">
        <f t="shared" si="1"/>
        <v>5</v>
      </c>
      <c r="H24" s="20">
        <f t="shared" si="1"/>
        <v>5</v>
      </c>
      <c r="I24" s="20">
        <f t="shared" si="1"/>
        <v>5</v>
      </c>
      <c r="J24" s="20">
        <f t="shared" si="1"/>
        <v>5</v>
      </c>
      <c r="K24" s="20">
        <f t="shared" si="1"/>
        <v>5</v>
      </c>
      <c r="L24" s="20">
        <f t="shared" si="1"/>
        <v>5</v>
      </c>
      <c r="M24" s="20">
        <f t="shared" si="1"/>
        <v>5</v>
      </c>
      <c r="N24" s="20">
        <f t="shared" si="1"/>
        <v>5</v>
      </c>
      <c r="O24" s="20">
        <f t="shared" si="1"/>
        <v>5</v>
      </c>
      <c r="P24" s="20">
        <f t="shared" si="1"/>
        <v>5</v>
      </c>
      <c r="Q24" s="20">
        <f t="shared" si="1"/>
        <v>5</v>
      </c>
      <c r="R24" s="20">
        <f t="shared" si="1"/>
        <v>5</v>
      </c>
      <c r="S24" s="20">
        <f t="shared" si="1"/>
        <v>5</v>
      </c>
      <c r="T24" s="20">
        <f t="shared" si="1"/>
        <v>5</v>
      </c>
    </row>
    <row r="25" spans="1:20" x14ac:dyDescent="0.3">
      <c r="A25">
        <f t="shared" ref="A25:A27" si="2">C25*B25</f>
        <v>2</v>
      </c>
      <c r="B25">
        <f>Assumptions!$B$57</f>
        <v>1</v>
      </c>
      <c r="C25">
        <f>Assumptions!$B$52</f>
        <v>2</v>
      </c>
      <c r="D25" t="s">
        <v>124</v>
      </c>
      <c r="E25" s="37">
        <f>EDATE($E$23,Assumptions!$B$54)</f>
        <v>45870</v>
      </c>
      <c r="F25" s="37">
        <f>EDATE(E25,Assumptions!$B$58)</f>
        <v>46054</v>
      </c>
      <c r="G25" s="37">
        <f>EDATE(F25,Assumptions!$B$58)</f>
        <v>46235</v>
      </c>
      <c r="H25" s="37">
        <f>EDATE(G25,Assumptions!$B$58)</f>
        <v>46419</v>
      </c>
      <c r="I25" s="37">
        <f>EDATE(H25,Assumptions!$B$58)</f>
        <v>46600</v>
      </c>
      <c r="J25" s="37">
        <f>EDATE(I25,Assumptions!$B$58)</f>
        <v>46784</v>
      </c>
      <c r="K25" s="37">
        <f>EDATE(J25,Assumptions!$B$58)</f>
        <v>46966</v>
      </c>
      <c r="L25" s="37">
        <f>EDATE(K25,Assumptions!$B$58)</f>
        <v>47150</v>
      </c>
      <c r="M25" s="37">
        <f>EDATE(L25,Assumptions!$B$58)</f>
        <v>47331</v>
      </c>
      <c r="N25" s="37">
        <f>EDATE(M25,Assumptions!$B$58)</f>
        <v>47515</v>
      </c>
      <c r="O25" s="37">
        <f>EDATE(N25,Assumptions!$B$58)</f>
        <v>47696</v>
      </c>
      <c r="P25" s="37">
        <f>EDATE(O25,Assumptions!$B$58)</f>
        <v>47880</v>
      </c>
      <c r="Q25" s="37">
        <f>EDATE(P25,Assumptions!$B$58)</f>
        <v>48061</v>
      </c>
      <c r="R25" s="37">
        <f>EDATE(Q25,Assumptions!$B$58)</f>
        <v>48245</v>
      </c>
      <c r="S25" s="37">
        <f>EDATE(R25,Assumptions!$B$58)</f>
        <v>48427</v>
      </c>
      <c r="T25" s="37">
        <f>EDATE(S25,Assumptions!$B$58)</f>
        <v>48611</v>
      </c>
    </row>
    <row r="26" spans="1:20" x14ac:dyDescent="0.3">
      <c r="E26" s="20">
        <f>$A$25</f>
        <v>2</v>
      </c>
      <c r="F26" s="20">
        <f t="shared" ref="F26:T26" si="3">$A$25</f>
        <v>2</v>
      </c>
      <c r="G26" s="20">
        <f t="shared" si="3"/>
        <v>2</v>
      </c>
      <c r="H26" s="20">
        <f t="shared" si="3"/>
        <v>2</v>
      </c>
      <c r="I26" s="20">
        <f t="shared" si="3"/>
        <v>2</v>
      </c>
      <c r="J26" s="20">
        <f t="shared" si="3"/>
        <v>2</v>
      </c>
      <c r="K26" s="20">
        <f t="shared" si="3"/>
        <v>2</v>
      </c>
      <c r="L26" s="20">
        <f t="shared" si="3"/>
        <v>2</v>
      </c>
      <c r="M26" s="20">
        <f t="shared" si="3"/>
        <v>2</v>
      </c>
      <c r="N26" s="20">
        <f t="shared" si="3"/>
        <v>2</v>
      </c>
      <c r="O26" s="20">
        <f t="shared" si="3"/>
        <v>2</v>
      </c>
      <c r="P26" s="20">
        <f t="shared" si="3"/>
        <v>2</v>
      </c>
      <c r="Q26" s="20">
        <f t="shared" si="3"/>
        <v>2</v>
      </c>
      <c r="R26" s="20">
        <f t="shared" si="3"/>
        <v>2</v>
      </c>
      <c r="S26" s="20">
        <f t="shared" si="3"/>
        <v>2</v>
      </c>
      <c r="T26" s="20">
        <f t="shared" si="3"/>
        <v>2</v>
      </c>
    </row>
    <row r="27" spans="1:20" x14ac:dyDescent="0.3">
      <c r="A27">
        <f t="shared" si="2"/>
        <v>5</v>
      </c>
      <c r="B27">
        <f>Assumptions!$B$57</f>
        <v>1</v>
      </c>
      <c r="C27">
        <f>Assumptions!$C$52</f>
        <v>5</v>
      </c>
      <c r="D27" t="s">
        <v>123</v>
      </c>
      <c r="E27" s="37">
        <f>EDATE($E$23,Assumptions!$C$54+12)</f>
        <v>46447</v>
      </c>
      <c r="F27" s="37">
        <f>EDATE(E27,Assumptions!$B$58)</f>
        <v>46631</v>
      </c>
      <c r="G27" s="37">
        <f>EDATE(F27,Assumptions!$B$58)</f>
        <v>46813</v>
      </c>
      <c r="H27" s="37">
        <f>EDATE(G27,Assumptions!$B$58)</f>
        <v>46997</v>
      </c>
      <c r="I27" s="37">
        <f>EDATE(H27,Assumptions!$B$58)</f>
        <v>47178</v>
      </c>
      <c r="J27" s="37">
        <f>EDATE(I27,Assumptions!$B$58)</f>
        <v>47362</v>
      </c>
      <c r="K27" s="37">
        <f>EDATE(J27,Assumptions!$B$58)</f>
        <v>47543</v>
      </c>
      <c r="L27" s="37">
        <f>EDATE(K27,Assumptions!$B$58)</f>
        <v>47727</v>
      </c>
      <c r="M27" s="37">
        <f>EDATE(L27,Assumptions!$B$58)</f>
        <v>47908</v>
      </c>
      <c r="N27" s="37">
        <f>EDATE(M27,Assumptions!$B$58)</f>
        <v>48092</v>
      </c>
      <c r="O27" s="37">
        <f>EDATE(N27,Assumptions!$B$58)</f>
        <v>48274</v>
      </c>
      <c r="P27" s="37">
        <f>EDATE(O27,Assumptions!$B$58)</f>
        <v>48458</v>
      </c>
      <c r="Q27" s="37">
        <f>EDATE(P27,Assumptions!$B$58)</f>
        <v>48639</v>
      </c>
      <c r="R27" s="37">
        <f>EDATE(Q27,Assumptions!$B$58)</f>
        <v>48823</v>
      </c>
      <c r="S27" s="37">
        <f>EDATE(R27,Assumptions!$B$58)</f>
        <v>49004</v>
      </c>
      <c r="T27" s="37">
        <f>EDATE(S27,Assumptions!$B$58)</f>
        <v>49188</v>
      </c>
    </row>
    <row r="28" spans="1:20" x14ac:dyDescent="0.3">
      <c r="E28" s="20">
        <f>$A$27</f>
        <v>5</v>
      </c>
      <c r="F28" s="20">
        <f t="shared" ref="F28:T28" si="4">$A$27</f>
        <v>5</v>
      </c>
      <c r="G28" s="20">
        <f t="shared" si="4"/>
        <v>5</v>
      </c>
      <c r="H28" s="20">
        <f t="shared" si="4"/>
        <v>5</v>
      </c>
      <c r="I28" s="20">
        <f t="shared" si="4"/>
        <v>5</v>
      </c>
      <c r="J28" s="20">
        <f t="shared" si="4"/>
        <v>5</v>
      </c>
      <c r="K28" s="20">
        <f t="shared" si="4"/>
        <v>5</v>
      </c>
      <c r="L28" s="20">
        <f t="shared" si="4"/>
        <v>5</v>
      </c>
      <c r="M28" s="20">
        <f t="shared" si="4"/>
        <v>5</v>
      </c>
      <c r="N28" s="20">
        <f t="shared" si="4"/>
        <v>5</v>
      </c>
      <c r="O28" s="20">
        <f t="shared" si="4"/>
        <v>5</v>
      </c>
      <c r="P28" s="20">
        <f t="shared" si="4"/>
        <v>5</v>
      </c>
      <c r="Q28" s="20">
        <f t="shared" si="4"/>
        <v>5</v>
      </c>
      <c r="R28" s="20">
        <f t="shared" si="4"/>
        <v>5</v>
      </c>
      <c r="S28" s="20">
        <f t="shared" si="4"/>
        <v>5</v>
      </c>
      <c r="T28" s="20">
        <f t="shared" si="4"/>
        <v>5</v>
      </c>
    </row>
    <row r="29" spans="1:20" x14ac:dyDescent="0.3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20" x14ac:dyDescent="0.3">
      <c r="A30" s="39" t="s">
        <v>56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2" spans="1:20" x14ac:dyDescent="0.3">
      <c r="A32" s="38" t="s">
        <v>126</v>
      </c>
      <c r="B32" s="38" t="s">
        <v>127</v>
      </c>
      <c r="C32" s="38" t="s">
        <v>128</v>
      </c>
      <c r="E32" s="38" t="s">
        <v>125</v>
      </c>
      <c r="F32" s="38" t="s">
        <v>129</v>
      </c>
    </row>
    <row r="33" spans="1:20" x14ac:dyDescent="0.3">
      <c r="A33">
        <f>C33*B33</f>
        <v>1</v>
      </c>
      <c r="B33">
        <f>Assumptions!$B$75</f>
        <v>1</v>
      </c>
      <c r="C33">
        <f>Assumptions!$B$70</f>
        <v>1</v>
      </c>
      <c r="D33" t="s">
        <v>122</v>
      </c>
      <c r="E33" s="37">
        <f>Assumptions!$B$2</f>
        <v>45809</v>
      </c>
      <c r="F33" s="37">
        <f>EDATE(E33,Assumptions!$B$58)</f>
        <v>45992</v>
      </c>
      <c r="G33" s="37">
        <f>EDATE(F33,Assumptions!$B$58)</f>
        <v>46174</v>
      </c>
      <c r="H33" s="37">
        <f>EDATE(G33,Assumptions!$B$58)</f>
        <v>46357</v>
      </c>
      <c r="I33" s="37">
        <f>EDATE(H33,Assumptions!$B$58)</f>
        <v>46539</v>
      </c>
      <c r="J33" s="37">
        <f>EDATE(I33,Assumptions!$B$58)</f>
        <v>46722</v>
      </c>
      <c r="K33" s="37">
        <f>EDATE(J33,Assumptions!$B$58)</f>
        <v>46905</v>
      </c>
      <c r="L33" s="37">
        <f>EDATE(K33,Assumptions!$B$58)</f>
        <v>47088</v>
      </c>
      <c r="M33" s="37">
        <f>EDATE(L33,Assumptions!$B$58)</f>
        <v>47270</v>
      </c>
      <c r="N33" s="37">
        <f>EDATE(M33,Assumptions!$B$58)</f>
        <v>47453</v>
      </c>
      <c r="O33" s="37">
        <f>EDATE(N33,Assumptions!$B$58)</f>
        <v>47635</v>
      </c>
      <c r="P33" s="37">
        <f>EDATE(O33,Assumptions!$B$58)</f>
        <v>47818</v>
      </c>
      <c r="Q33" s="37">
        <f>EDATE(P33,Assumptions!$B$58)</f>
        <v>48000</v>
      </c>
      <c r="R33" s="37">
        <f>EDATE(Q33,Assumptions!$B$58)</f>
        <v>48183</v>
      </c>
      <c r="S33" s="37">
        <f>EDATE(R33,Assumptions!$B$58)</f>
        <v>48366</v>
      </c>
      <c r="T33" s="37">
        <f>EDATE(S33,Assumptions!$B$58)</f>
        <v>48549</v>
      </c>
    </row>
    <row r="34" spans="1:20" x14ac:dyDescent="0.3">
      <c r="E34" s="20">
        <f>$A$33</f>
        <v>1</v>
      </c>
      <c r="F34" s="20">
        <f t="shared" ref="F34:T34" si="5">$A$33</f>
        <v>1</v>
      </c>
      <c r="G34" s="20">
        <f t="shared" si="5"/>
        <v>1</v>
      </c>
      <c r="H34" s="20">
        <f t="shared" si="5"/>
        <v>1</v>
      </c>
      <c r="I34" s="20">
        <f t="shared" si="5"/>
        <v>1</v>
      </c>
      <c r="J34" s="20">
        <f t="shared" si="5"/>
        <v>1</v>
      </c>
      <c r="K34" s="20">
        <f t="shared" si="5"/>
        <v>1</v>
      </c>
      <c r="L34" s="20">
        <f t="shared" si="5"/>
        <v>1</v>
      </c>
      <c r="M34" s="20">
        <f t="shared" si="5"/>
        <v>1</v>
      </c>
      <c r="N34" s="20">
        <f t="shared" si="5"/>
        <v>1</v>
      </c>
      <c r="O34" s="20">
        <f t="shared" si="5"/>
        <v>1</v>
      </c>
      <c r="P34" s="20">
        <f t="shared" si="5"/>
        <v>1</v>
      </c>
      <c r="Q34" s="20">
        <f t="shared" si="5"/>
        <v>1</v>
      </c>
      <c r="R34" s="20">
        <f t="shared" si="5"/>
        <v>1</v>
      </c>
      <c r="S34" s="20">
        <f t="shared" si="5"/>
        <v>1</v>
      </c>
      <c r="T34" s="20">
        <f t="shared" si="5"/>
        <v>1</v>
      </c>
    </row>
    <row r="35" spans="1:20" x14ac:dyDescent="0.3">
      <c r="A35">
        <f t="shared" ref="A35" si="6">C35*B35</f>
        <v>1</v>
      </c>
      <c r="B35">
        <f>Assumptions!$B$75</f>
        <v>1</v>
      </c>
      <c r="C35">
        <f>Assumptions!$B$71</f>
        <v>1</v>
      </c>
      <c r="D35" t="s">
        <v>124</v>
      </c>
      <c r="E35" s="37">
        <f>EDATE($E$23,Assumptions!$B$54)</f>
        <v>45870</v>
      </c>
      <c r="F35" s="37">
        <f>EDATE(E35,Assumptions!$B$58)</f>
        <v>46054</v>
      </c>
      <c r="G35" s="37">
        <f>EDATE(F35,Assumptions!$B$58)</f>
        <v>46235</v>
      </c>
      <c r="H35" s="37">
        <f>EDATE(G35,Assumptions!$B$58)</f>
        <v>46419</v>
      </c>
      <c r="I35" s="37">
        <f>EDATE(H35,Assumptions!$B$58)</f>
        <v>46600</v>
      </c>
      <c r="J35" s="37">
        <f>EDATE(I35,Assumptions!$B$58)</f>
        <v>46784</v>
      </c>
      <c r="K35" s="37">
        <f>EDATE(J35,Assumptions!$B$58)</f>
        <v>46966</v>
      </c>
      <c r="L35" s="37">
        <f>EDATE(K35,Assumptions!$B$58)</f>
        <v>47150</v>
      </c>
      <c r="M35" s="37">
        <f>EDATE(L35,Assumptions!$B$58)</f>
        <v>47331</v>
      </c>
      <c r="N35" s="37">
        <f>EDATE(M35,Assumptions!$B$58)</f>
        <v>47515</v>
      </c>
      <c r="O35" s="37">
        <f>EDATE(N35,Assumptions!$B$58)</f>
        <v>47696</v>
      </c>
      <c r="P35" s="37">
        <f>EDATE(O35,Assumptions!$B$58)</f>
        <v>47880</v>
      </c>
      <c r="Q35" s="37">
        <f>EDATE(P35,Assumptions!$B$58)</f>
        <v>48061</v>
      </c>
      <c r="R35" s="37">
        <f>EDATE(Q35,Assumptions!$B$58)</f>
        <v>48245</v>
      </c>
      <c r="S35" s="37">
        <f>EDATE(R35,Assumptions!$B$58)</f>
        <v>48427</v>
      </c>
      <c r="T35" s="37">
        <f>EDATE(S35,Assumptions!$B$58)</f>
        <v>48611</v>
      </c>
    </row>
    <row r="36" spans="1:20" x14ac:dyDescent="0.3">
      <c r="E36" s="20">
        <f>$A$35</f>
        <v>1</v>
      </c>
      <c r="F36" s="20">
        <f t="shared" ref="F36:T36" si="7">$A$35</f>
        <v>1</v>
      </c>
      <c r="G36" s="20">
        <f t="shared" si="7"/>
        <v>1</v>
      </c>
      <c r="H36" s="20">
        <f t="shared" si="7"/>
        <v>1</v>
      </c>
      <c r="I36" s="20">
        <f t="shared" si="7"/>
        <v>1</v>
      </c>
      <c r="J36" s="20">
        <f t="shared" si="7"/>
        <v>1</v>
      </c>
      <c r="K36" s="20">
        <f t="shared" si="7"/>
        <v>1</v>
      </c>
      <c r="L36" s="20">
        <f t="shared" si="7"/>
        <v>1</v>
      </c>
      <c r="M36" s="20">
        <f t="shared" si="7"/>
        <v>1</v>
      </c>
      <c r="N36" s="20">
        <f t="shared" si="7"/>
        <v>1</v>
      </c>
      <c r="O36" s="20">
        <f t="shared" si="7"/>
        <v>1</v>
      </c>
      <c r="P36" s="20">
        <f t="shared" si="7"/>
        <v>1</v>
      </c>
      <c r="Q36" s="20">
        <f t="shared" si="7"/>
        <v>1</v>
      </c>
      <c r="R36" s="20">
        <f t="shared" si="7"/>
        <v>1</v>
      </c>
      <c r="S36" s="20">
        <f t="shared" si="7"/>
        <v>1</v>
      </c>
      <c r="T36" s="20">
        <f t="shared" si="7"/>
        <v>1</v>
      </c>
    </row>
    <row r="37" spans="1:20" x14ac:dyDescent="0.3">
      <c r="A37">
        <f t="shared" ref="A37" si="8">C37*B37</f>
        <v>0</v>
      </c>
      <c r="B37">
        <f>Assumptions!$B$75</f>
        <v>1</v>
      </c>
      <c r="C37">
        <f>Assumptions!$C$71</f>
        <v>0</v>
      </c>
      <c r="D37" t="s">
        <v>123</v>
      </c>
      <c r="E37" s="37">
        <f>EDATE($E$23,Assumptions!$C$54+12)</f>
        <v>46447</v>
      </c>
      <c r="F37" s="37">
        <f>EDATE(E37,Assumptions!$B$58)</f>
        <v>46631</v>
      </c>
      <c r="G37" s="37">
        <f>EDATE(F37,Assumptions!$B$58)</f>
        <v>46813</v>
      </c>
      <c r="H37" s="37">
        <f>EDATE(G37,Assumptions!$B$58)</f>
        <v>46997</v>
      </c>
      <c r="I37" s="37">
        <f>EDATE(H37,Assumptions!$B$58)</f>
        <v>47178</v>
      </c>
      <c r="J37" s="37">
        <f>EDATE(I37,Assumptions!$B$58)</f>
        <v>47362</v>
      </c>
      <c r="K37" s="37">
        <f>EDATE(J37,Assumptions!$B$58)</f>
        <v>47543</v>
      </c>
      <c r="L37" s="37">
        <f>EDATE(K37,Assumptions!$B$58)</f>
        <v>47727</v>
      </c>
      <c r="M37" s="37">
        <f>EDATE(L37,Assumptions!$B$58)</f>
        <v>47908</v>
      </c>
      <c r="N37" s="37">
        <f>EDATE(M37,Assumptions!$B$58)</f>
        <v>48092</v>
      </c>
      <c r="O37" s="37">
        <f>EDATE(N37,Assumptions!$B$58)</f>
        <v>48274</v>
      </c>
      <c r="P37" s="37">
        <f>EDATE(O37,Assumptions!$B$58)</f>
        <v>48458</v>
      </c>
      <c r="Q37" s="37">
        <f>EDATE(P37,Assumptions!$B$58)</f>
        <v>48639</v>
      </c>
      <c r="R37" s="37">
        <f>EDATE(Q37,Assumptions!$B$58)</f>
        <v>48823</v>
      </c>
      <c r="S37" s="37">
        <f>EDATE(R37,Assumptions!$B$58)</f>
        <v>49004</v>
      </c>
      <c r="T37" s="37">
        <f>EDATE(S37,Assumptions!$B$58)</f>
        <v>49188</v>
      </c>
    </row>
    <row r="38" spans="1:20" x14ac:dyDescent="0.3">
      <c r="E38" s="20">
        <f>$A$37</f>
        <v>0</v>
      </c>
      <c r="F38" s="20">
        <f t="shared" ref="F38:T38" si="9">$A$37</f>
        <v>0</v>
      </c>
      <c r="G38" s="20">
        <f t="shared" si="9"/>
        <v>0</v>
      </c>
      <c r="H38" s="20">
        <f t="shared" si="9"/>
        <v>0</v>
      </c>
      <c r="I38" s="20">
        <f t="shared" si="9"/>
        <v>0</v>
      </c>
      <c r="J38" s="20">
        <f t="shared" si="9"/>
        <v>0</v>
      </c>
      <c r="K38" s="20">
        <f t="shared" si="9"/>
        <v>0</v>
      </c>
      <c r="L38" s="20">
        <f t="shared" si="9"/>
        <v>0</v>
      </c>
      <c r="M38" s="20">
        <f t="shared" si="9"/>
        <v>0</v>
      </c>
      <c r="N38" s="20">
        <f t="shared" si="9"/>
        <v>0</v>
      </c>
      <c r="O38" s="20">
        <f t="shared" si="9"/>
        <v>0</v>
      </c>
      <c r="P38" s="20">
        <f t="shared" si="9"/>
        <v>0</v>
      </c>
      <c r="Q38" s="20">
        <f t="shared" si="9"/>
        <v>0</v>
      </c>
      <c r="R38" s="20">
        <f t="shared" si="9"/>
        <v>0</v>
      </c>
      <c r="S38" s="20">
        <f t="shared" si="9"/>
        <v>0</v>
      </c>
      <c r="T38" s="20">
        <f t="shared" si="9"/>
        <v>0</v>
      </c>
    </row>
    <row r="40" spans="1:20" x14ac:dyDescent="0.3">
      <c r="A40" s="39" t="s">
        <v>57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2" spans="1:20" x14ac:dyDescent="0.3">
      <c r="A42" s="38" t="s">
        <v>126</v>
      </c>
      <c r="B42" s="38" t="s">
        <v>127</v>
      </c>
      <c r="C42" s="38" t="s">
        <v>128</v>
      </c>
      <c r="E42" s="38" t="s">
        <v>125</v>
      </c>
      <c r="F42" s="38" t="s">
        <v>129</v>
      </c>
    </row>
    <row r="43" spans="1:20" x14ac:dyDescent="0.3">
      <c r="A43">
        <f>C43*B43</f>
        <v>1</v>
      </c>
      <c r="B43">
        <f>Assumptions!$B$93</f>
        <v>1</v>
      </c>
      <c r="C43">
        <f>Assumptions!$B$88</f>
        <v>1</v>
      </c>
      <c r="D43" t="s">
        <v>122</v>
      </c>
      <c r="E43" s="37">
        <f>Assumptions!$B$2</f>
        <v>45809</v>
      </c>
      <c r="F43" s="37">
        <f>EDATE(E43,Assumptions!$B$58)</f>
        <v>45992</v>
      </c>
      <c r="G43" s="37">
        <f>EDATE(F43,Assumptions!$B$58)</f>
        <v>46174</v>
      </c>
      <c r="H43" s="37">
        <f>EDATE(G43,Assumptions!$B$58)</f>
        <v>46357</v>
      </c>
      <c r="I43" s="37">
        <f>EDATE(H43,Assumptions!$B$58)</f>
        <v>46539</v>
      </c>
      <c r="J43" s="37">
        <f>EDATE(I43,Assumptions!$B$58)</f>
        <v>46722</v>
      </c>
      <c r="K43" s="37">
        <f>EDATE(J43,Assumptions!$B$58)</f>
        <v>46905</v>
      </c>
      <c r="L43" s="37">
        <f>EDATE(K43,Assumptions!$B$58)</f>
        <v>47088</v>
      </c>
      <c r="M43" s="37">
        <f>EDATE(L43,Assumptions!$B$58)</f>
        <v>47270</v>
      </c>
      <c r="N43" s="37">
        <f>EDATE(M43,Assumptions!$B$58)</f>
        <v>47453</v>
      </c>
      <c r="O43" s="37">
        <f>EDATE(N43,Assumptions!$B$58)</f>
        <v>47635</v>
      </c>
      <c r="P43" s="37">
        <f>EDATE(O43,Assumptions!$B$58)</f>
        <v>47818</v>
      </c>
      <c r="Q43" s="37">
        <f>EDATE(P43,Assumptions!$B$58)</f>
        <v>48000</v>
      </c>
      <c r="R43" s="37">
        <f>EDATE(Q43,Assumptions!$B$58)</f>
        <v>48183</v>
      </c>
      <c r="S43" s="37">
        <f>EDATE(R43,Assumptions!$B$58)</f>
        <v>48366</v>
      </c>
      <c r="T43" s="37">
        <f>EDATE(S43,Assumptions!$B$58)</f>
        <v>48549</v>
      </c>
    </row>
    <row r="44" spans="1:20" x14ac:dyDescent="0.3">
      <c r="E44" s="20">
        <f>$A$43</f>
        <v>1</v>
      </c>
      <c r="F44" s="20">
        <f t="shared" ref="F44:T44" si="10">$A$43</f>
        <v>1</v>
      </c>
      <c r="G44" s="20">
        <f t="shared" si="10"/>
        <v>1</v>
      </c>
      <c r="H44" s="20">
        <f t="shared" si="10"/>
        <v>1</v>
      </c>
      <c r="I44" s="20">
        <f t="shared" si="10"/>
        <v>1</v>
      </c>
      <c r="J44" s="20">
        <f t="shared" si="10"/>
        <v>1</v>
      </c>
      <c r="K44" s="20">
        <f t="shared" si="10"/>
        <v>1</v>
      </c>
      <c r="L44" s="20">
        <f t="shared" si="10"/>
        <v>1</v>
      </c>
      <c r="M44" s="20">
        <f t="shared" si="10"/>
        <v>1</v>
      </c>
      <c r="N44" s="20">
        <f t="shared" si="10"/>
        <v>1</v>
      </c>
      <c r="O44" s="20">
        <f t="shared" si="10"/>
        <v>1</v>
      </c>
      <c r="P44" s="20">
        <f t="shared" si="10"/>
        <v>1</v>
      </c>
      <c r="Q44" s="20">
        <f t="shared" si="10"/>
        <v>1</v>
      </c>
      <c r="R44" s="20">
        <f t="shared" si="10"/>
        <v>1</v>
      </c>
      <c r="S44" s="20">
        <f t="shared" si="10"/>
        <v>1</v>
      </c>
      <c r="T44" s="20">
        <f t="shared" si="10"/>
        <v>1</v>
      </c>
    </row>
    <row r="45" spans="1:20" x14ac:dyDescent="0.3">
      <c r="A45">
        <f t="shared" ref="A45" si="11">C45*B45</f>
        <v>1</v>
      </c>
      <c r="B45">
        <f>Assumptions!$B$93</f>
        <v>1</v>
      </c>
      <c r="C45">
        <f>Assumptions!$B$89</f>
        <v>1</v>
      </c>
      <c r="D45" t="s">
        <v>124</v>
      </c>
      <c r="E45" s="37">
        <f>EDATE($E$23,Assumptions!$B$54)</f>
        <v>45870</v>
      </c>
      <c r="F45" s="37">
        <f>EDATE(E45,Assumptions!$B$58)</f>
        <v>46054</v>
      </c>
      <c r="G45" s="37">
        <f>EDATE(F45,Assumptions!$B$58)</f>
        <v>46235</v>
      </c>
      <c r="H45" s="37">
        <f>EDATE(G45,Assumptions!$B$58)</f>
        <v>46419</v>
      </c>
      <c r="I45" s="37">
        <f>EDATE(H45,Assumptions!$B$58)</f>
        <v>46600</v>
      </c>
      <c r="J45" s="37">
        <f>EDATE(I45,Assumptions!$B$58)</f>
        <v>46784</v>
      </c>
      <c r="K45" s="37">
        <f>EDATE(J45,Assumptions!$B$58)</f>
        <v>46966</v>
      </c>
      <c r="L45" s="37">
        <f>EDATE(K45,Assumptions!$B$58)</f>
        <v>47150</v>
      </c>
      <c r="M45" s="37">
        <f>EDATE(L45,Assumptions!$B$58)</f>
        <v>47331</v>
      </c>
      <c r="N45" s="37">
        <f>EDATE(M45,Assumptions!$B$58)</f>
        <v>47515</v>
      </c>
      <c r="O45" s="37">
        <f>EDATE(N45,Assumptions!$B$58)</f>
        <v>47696</v>
      </c>
      <c r="P45" s="37">
        <f>EDATE(O45,Assumptions!$B$58)</f>
        <v>47880</v>
      </c>
      <c r="Q45" s="37">
        <f>EDATE(P45,Assumptions!$B$58)</f>
        <v>48061</v>
      </c>
      <c r="R45" s="37">
        <f>EDATE(Q45,Assumptions!$B$58)</f>
        <v>48245</v>
      </c>
      <c r="S45" s="37">
        <f>EDATE(R45,Assumptions!$B$58)</f>
        <v>48427</v>
      </c>
      <c r="T45" s="37">
        <f>EDATE(S45,Assumptions!$B$58)</f>
        <v>48611</v>
      </c>
    </row>
    <row r="46" spans="1:20" x14ac:dyDescent="0.3">
      <c r="E46" s="20">
        <f>$A$45</f>
        <v>1</v>
      </c>
      <c r="F46" s="20">
        <f t="shared" ref="F46:T46" si="12">$A$45</f>
        <v>1</v>
      </c>
      <c r="G46" s="20">
        <f t="shared" si="12"/>
        <v>1</v>
      </c>
      <c r="H46" s="20">
        <f t="shared" si="12"/>
        <v>1</v>
      </c>
      <c r="I46" s="20">
        <f t="shared" si="12"/>
        <v>1</v>
      </c>
      <c r="J46" s="20">
        <f t="shared" si="12"/>
        <v>1</v>
      </c>
      <c r="K46" s="20">
        <f t="shared" si="12"/>
        <v>1</v>
      </c>
      <c r="L46" s="20">
        <f t="shared" si="12"/>
        <v>1</v>
      </c>
      <c r="M46" s="20">
        <f t="shared" si="12"/>
        <v>1</v>
      </c>
      <c r="N46" s="20">
        <f t="shared" si="12"/>
        <v>1</v>
      </c>
      <c r="O46" s="20">
        <f t="shared" si="12"/>
        <v>1</v>
      </c>
      <c r="P46" s="20">
        <f t="shared" si="12"/>
        <v>1</v>
      </c>
      <c r="Q46" s="20">
        <f t="shared" si="12"/>
        <v>1</v>
      </c>
      <c r="R46" s="20">
        <f t="shared" si="12"/>
        <v>1</v>
      </c>
      <c r="S46" s="20">
        <f t="shared" si="12"/>
        <v>1</v>
      </c>
      <c r="T46" s="20">
        <f t="shared" si="12"/>
        <v>1</v>
      </c>
    </row>
    <row r="47" spans="1:20" x14ac:dyDescent="0.3">
      <c r="A47">
        <f t="shared" ref="A47" si="13">C47*B47</f>
        <v>1</v>
      </c>
      <c r="B47">
        <f>Assumptions!$B$93</f>
        <v>1</v>
      </c>
      <c r="C47">
        <f>Assumptions!$C$89</f>
        <v>1</v>
      </c>
      <c r="D47" t="s">
        <v>123</v>
      </c>
      <c r="E47" s="37">
        <f>EDATE($E$23,Assumptions!$C$54+12)</f>
        <v>46447</v>
      </c>
      <c r="F47" s="37">
        <f>EDATE(E47,Assumptions!$B$58)</f>
        <v>46631</v>
      </c>
      <c r="G47" s="37">
        <f>EDATE(F47,Assumptions!$B$58)</f>
        <v>46813</v>
      </c>
      <c r="H47" s="37">
        <f>EDATE(G47,Assumptions!$B$58)</f>
        <v>46997</v>
      </c>
      <c r="I47" s="37">
        <f>EDATE(H47,Assumptions!$B$58)</f>
        <v>47178</v>
      </c>
      <c r="J47" s="37">
        <f>EDATE(I47,Assumptions!$B$58)</f>
        <v>47362</v>
      </c>
      <c r="K47" s="37">
        <f>EDATE(J47,Assumptions!$B$58)</f>
        <v>47543</v>
      </c>
      <c r="L47" s="37">
        <f>EDATE(K47,Assumptions!$B$58)</f>
        <v>47727</v>
      </c>
      <c r="M47" s="37">
        <f>EDATE(L47,Assumptions!$B$58)</f>
        <v>47908</v>
      </c>
      <c r="N47" s="37">
        <f>EDATE(M47,Assumptions!$B$58)</f>
        <v>48092</v>
      </c>
      <c r="O47" s="37">
        <f>EDATE(N47,Assumptions!$B$58)</f>
        <v>48274</v>
      </c>
      <c r="P47" s="37">
        <f>EDATE(O47,Assumptions!$B$58)</f>
        <v>48458</v>
      </c>
      <c r="Q47" s="37">
        <f>EDATE(P47,Assumptions!$B$58)</f>
        <v>48639</v>
      </c>
      <c r="R47" s="37">
        <f>EDATE(Q47,Assumptions!$B$58)</f>
        <v>48823</v>
      </c>
      <c r="S47" s="37">
        <f>EDATE(R47,Assumptions!$B$58)</f>
        <v>49004</v>
      </c>
      <c r="T47" s="37">
        <f>EDATE(S47,Assumptions!$B$58)</f>
        <v>49188</v>
      </c>
    </row>
    <row r="48" spans="1:20" x14ac:dyDescent="0.3">
      <c r="E48" s="20">
        <f>$A$47</f>
        <v>1</v>
      </c>
      <c r="F48" s="20">
        <f t="shared" ref="F48:T48" si="14">$A$47</f>
        <v>1</v>
      </c>
      <c r="G48" s="20">
        <f t="shared" si="14"/>
        <v>1</v>
      </c>
      <c r="H48" s="20">
        <f t="shared" si="14"/>
        <v>1</v>
      </c>
      <c r="I48" s="20">
        <f t="shared" si="14"/>
        <v>1</v>
      </c>
      <c r="J48" s="20">
        <f t="shared" si="14"/>
        <v>1</v>
      </c>
      <c r="K48" s="20">
        <f t="shared" si="14"/>
        <v>1</v>
      </c>
      <c r="L48" s="20">
        <f t="shared" si="14"/>
        <v>1</v>
      </c>
      <c r="M48" s="20">
        <f t="shared" si="14"/>
        <v>1</v>
      </c>
      <c r="N48" s="20">
        <f t="shared" si="14"/>
        <v>1</v>
      </c>
      <c r="O48" s="20">
        <f t="shared" si="14"/>
        <v>1</v>
      </c>
      <c r="P48" s="20">
        <f t="shared" si="14"/>
        <v>1</v>
      </c>
      <c r="Q48" s="20">
        <f t="shared" si="14"/>
        <v>1</v>
      </c>
      <c r="R48" s="20">
        <f t="shared" si="14"/>
        <v>1</v>
      </c>
      <c r="S48" s="20">
        <f t="shared" si="14"/>
        <v>1</v>
      </c>
      <c r="T48" s="20">
        <f t="shared" si="1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28BE-F634-4AD6-B1D2-2AB901391832}">
  <dimension ref="A2:G43"/>
  <sheetViews>
    <sheetView workbookViewId="0">
      <selection activeCell="D37" sqref="D37"/>
    </sheetView>
  </sheetViews>
  <sheetFormatPr defaultRowHeight="15.75" x14ac:dyDescent="0.3"/>
  <cols>
    <col min="1" max="1" width="10.88671875" bestFit="1" customWidth="1"/>
    <col min="2" max="2" width="23.33203125" bestFit="1" customWidth="1"/>
  </cols>
  <sheetData>
    <row r="2" spans="2:7" x14ac:dyDescent="0.3">
      <c r="C2" s="42" t="str">
        <f>Assumptions!B3</f>
        <v>TC250</v>
      </c>
    </row>
    <row r="3" spans="2:7" x14ac:dyDescent="0.3">
      <c r="B3" s="4"/>
      <c r="C3" s="4" t="s">
        <v>19</v>
      </c>
      <c r="D3" s="41" t="s">
        <v>135</v>
      </c>
      <c r="E3" s="41" t="s">
        <v>136</v>
      </c>
      <c r="F3" s="41" t="s">
        <v>138</v>
      </c>
      <c r="G3" s="41" t="s">
        <v>137</v>
      </c>
    </row>
    <row r="4" spans="2:7" x14ac:dyDescent="0.3">
      <c r="B4" s="5" t="s">
        <v>37</v>
      </c>
      <c r="C4" s="5"/>
    </row>
    <row r="5" spans="2:7" x14ac:dyDescent="0.3">
      <c r="B5" s="1" t="s">
        <v>5</v>
      </c>
      <c r="C5" s="2">
        <f>INDEX($D5:$G5,MATCH($C$2,$D$3:$G$3,0))</f>
        <v>5.14</v>
      </c>
      <c r="D5" s="40">
        <v>4.99</v>
      </c>
      <c r="E5" s="40">
        <v>5.14</v>
      </c>
      <c r="F5" s="40">
        <v>5.6499999999999995</v>
      </c>
      <c r="G5" s="40">
        <v>6.3599999999999994</v>
      </c>
    </row>
    <row r="6" spans="2:7" x14ac:dyDescent="0.3">
      <c r="B6" s="1" t="s">
        <v>7</v>
      </c>
      <c r="C6" s="2">
        <f t="shared" ref="C6:C9" si="0">INDEX($D6:$G6,MATCH($C$2,$D$3:$G$3,0))</f>
        <v>0</v>
      </c>
      <c r="D6" s="40"/>
      <c r="E6" s="40"/>
      <c r="F6" s="40"/>
      <c r="G6" s="40"/>
    </row>
    <row r="7" spans="2:7" x14ac:dyDescent="0.3">
      <c r="B7" s="1" t="s">
        <v>9</v>
      </c>
      <c r="C7" s="2">
        <f t="shared" si="0"/>
        <v>6.1499999999999995</v>
      </c>
      <c r="D7" s="40">
        <v>5.97</v>
      </c>
      <c r="E7" s="40">
        <v>6.1499999999999995</v>
      </c>
      <c r="F7" s="40">
        <v>6.7399999999999993</v>
      </c>
      <c r="G7" s="40">
        <v>7.62</v>
      </c>
    </row>
    <row r="8" spans="2:7" x14ac:dyDescent="0.3">
      <c r="B8" s="1" t="s">
        <v>12</v>
      </c>
      <c r="C8" s="2">
        <f t="shared" si="0"/>
        <v>5.84</v>
      </c>
      <c r="D8" s="40">
        <v>5.66</v>
      </c>
      <c r="E8" s="40">
        <v>5.84</v>
      </c>
      <c r="F8" s="40">
        <v>6.37</v>
      </c>
      <c r="G8" s="40">
        <v>7.21</v>
      </c>
    </row>
    <row r="9" spans="2:7" x14ac:dyDescent="0.3">
      <c r="B9" s="1" t="s">
        <v>15</v>
      </c>
      <c r="C9" s="2">
        <f t="shared" si="0"/>
        <v>1.1399999999999999</v>
      </c>
      <c r="D9" s="40">
        <v>1.1100000000000001</v>
      </c>
      <c r="E9" s="40">
        <v>1.1399999999999999</v>
      </c>
      <c r="F9" s="40">
        <v>1.24</v>
      </c>
      <c r="G9" s="40">
        <v>1.39</v>
      </c>
    </row>
    <row r="10" spans="2:7" ht="16.5" thickBot="1" x14ac:dyDescent="0.35">
      <c r="B10" s="16" t="s">
        <v>39</v>
      </c>
      <c r="C10" s="17">
        <f>SUM(C5:C9)</f>
        <v>18.27</v>
      </c>
    </row>
    <row r="11" spans="2:7" ht="16.5" thickTop="1" x14ac:dyDescent="0.3">
      <c r="B11" s="15"/>
    </row>
    <row r="12" spans="2:7" x14ac:dyDescent="0.3">
      <c r="B12" s="5" t="s">
        <v>38</v>
      </c>
    </row>
    <row r="13" spans="2:7" x14ac:dyDescent="0.3">
      <c r="B13" s="1" t="s">
        <v>6</v>
      </c>
      <c r="C13" s="2">
        <f>INDEX($D13:$G13,MATCH($C$2,$D$3:$G$3,0))</f>
        <v>4</v>
      </c>
      <c r="D13" s="40">
        <v>4</v>
      </c>
      <c r="E13" s="40">
        <v>4</v>
      </c>
      <c r="F13" s="40">
        <v>4</v>
      </c>
      <c r="G13" s="40">
        <v>6</v>
      </c>
    </row>
    <row r="14" spans="2:7" x14ac:dyDescent="0.3">
      <c r="B14" s="1" t="s">
        <v>8</v>
      </c>
      <c r="C14" s="2">
        <f t="shared" ref="C14:C17" si="1">INDEX($D14:$G14,MATCH($C$2,$D$3:$G$3,0))</f>
        <v>0</v>
      </c>
      <c r="D14" s="40"/>
      <c r="E14" s="40"/>
      <c r="F14" s="40"/>
      <c r="G14" s="40"/>
    </row>
    <row r="15" spans="2:7" x14ac:dyDescent="0.3">
      <c r="B15" s="1" t="s">
        <v>10</v>
      </c>
      <c r="C15" s="2">
        <f t="shared" si="1"/>
        <v>7</v>
      </c>
      <c r="D15" s="40">
        <v>4</v>
      </c>
      <c r="E15" s="40">
        <v>7</v>
      </c>
      <c r="F15" s="40">
        <v>2</v>
      </c>
      <c r="G15" s="40">
        <v>8</v>
      </c>
    </row>
    <row r="16" spans="2:7" x14ac:dyDescent="0.3">
      <c r="B16" s="1" t="s">
        <v>13</v>
      </c>
      <c r="C16" s="2">
        <f t="shared" si="1"/>
        <v>3</v>
      </c>
      <c r="D16" s="40">
        <v>9</v>
      </c>
      <c r="E16" s="40">
        <v>3</v>
      </c>
      <c r="F16" s="40">
        <v>4</v>
      </c>
      <c r="G16" s="40">
        <v>10</v>
      </c>
    </row>
    <row r="17" spans="2:7" x14ac:dyDescent="0.3">
      <c r="B17" s="1" t="s">
        <v>15</v>
      </c>
      <c r="C17" s="2">
        <f t="shared" si="1"/>
        <v>9</v>
      </c>
      <c r="D17" s="40">
        <v>9</v>
      </c>
      <c r="E17" s="40">
        <v>9</v>
      </c>
      <c r="F17" s="40">
        <v>4</v>
      </c>
      <c r="G17" s="40">
        <v>7</v>
      </c>
    </row>
    <row r="18" spans="2:7" ht="16.5" thickBot="1" x14ac:dyDescent="0.35">
      <c r="B18" s="16" t="s">
        <v>40</v>
      </c>
      <c r="C18" s="17">
        <f>SUM(C13:C17)</f>
        <v>23</v>
      </c>
    </row>
    <row r="19" spans="2:7" ht="16.5" thickTop="1" x14ac:dyDescent="0.3">
      <c r="B19" s="1"/>
    </row>
    <row r="20" spans="2:7" x14ac:dyDescent="0.3">
      <c r="B20" s="5" t="s">
        <v>44</v>
      </c>
    </row>
    <row r="21" spans="2:7" x14ac:dyDescent="0.3">
      <c r="B21" s="1" t="s">
        <v>99</v>
      </c>
      <c r="C21" s="2">
        <f>INDEX($D21:$G21,MATCH($C$2,$D$3:$G$3,0))</f>
        <v>9</v>
      </c>
      <c r="D21" s="40">
        <v>8</v>
      </c>
      <c r="E21" s="40">
        <v>9</v>
      </c>
      <c r="F21" s="40">
        <v>10</v>
      </c>
      <c r="G21" s="40">
        <v>9</v>
      </c>
    </row>
    <row r="22" spans="2:7" x14ac:dyDescent="0.3">
      <c r="B22" s="1" t="s">
        <v>100</v>
      </c>
      <c r="C22" s="2">
        <f t="shared" ref="C22:C25" si="2">INDEX($D22:$G22,MATCH($C$2,$D$3:$G$3,0))</f>
        <v>0</v>
      </c>
      <c r="D22" s="40"/>
      <c r="E22" s="40"/>
      <c r="F22" s="40"/>
      <c r="G22" s="40"/>
    </row>
    <row r="23" spans="2:7" x14ac:dyDescent="0.3">
      <c r="B23" s="1" t="s">
        <v>11</v>
      </c>
      <c r="C23" s="2">
        <f t="shared" si="2"/>
        <v>7</v>
      </c>
      <c r="D23" s="40">
        <v>8</v>
      </c>
      <c r="E23" s="40">
        <v>7</v>
      </c>
      <c r="F23" s="40">
        <v>6</v>
      </c>
      <c r="G23" s="40">
        <v>7</v>
      </c>
    </row>
    <row r="24" spans="2:7" x14ac:dyDescent="0.3">
      <c r="B24" s="1" t="s">
        <v>14</v>
      </c>
      <c r="C24" s="2">
        <f t="shared" si="2"/>
        <v>7</v>
      </c>
      <c r="D24" s="40">
        <v>8</v>
      </c>
      <c r="E24" s="40">
        <v>7</v>
      </c>
      <c r="F24" s="40">
        <v>5</v>
      </c>
      <c r="G24" s="40">
        <v>2</v>
      </c>
    </row>
    <row r="25" spans="2:7" x14ac:dyDescent="0.3">
      <c r="B25" s="1" t="s">
        <v>16</v>
      </c>
      <c r="C25" s="2">
        <f t="shared" si="2"/>
        <v>3</v>
      </c>
      <c r="D25" s="40">
        <v>6</v>
      </c>
      <c r="E25" s="40">
        <v>3</v>
      </c>
      <c r="F25" s="40">
        <v>3</v>
      </c>
      <c r="G25" s="40">
        <v>8</v>
      </c>
    </row>
    <row r="26" spans="2:7" ht="16.5" thickBot="1" x14ac:dyDescent="0.35">
      <c r="B26" s="16" t="s">
        <v>41</v>
      </c>
      <c r="C26" s="17">
        <f>SUM(C21:C25)</f>
        <v>26</v>
      </c>
    </row>
    <row r="27" spans="2:7" ht="16.5" thickTop="1" x14ac:dyDescent="0.3">
      <c r="B27" s="1"/>
    </row>
    <row r="28" spans="2:7" x14ac:dyDescent="0.3">
      <c r="B28" s="5" t="s">
        <v>43</v>
      </c>
    </row>
    <row r="29" spans="2:7" x14ac:dyDescent="0.3">
      <c r="B29" s="1" t="s">
        <v>111</v>
      </c>
      <c r="C29" s="2">
        <f>INDEX($D29:$G29,MATCH($C$2,$D$3:$G$3,0))</f>
        <v>10</v>
      </c>
      <c r="D29" s="40">
        <v>3</v>
      </c>
      <c r="E29" s="40">
        <v>10</v>
      </c>
      <c r="F29" s="40">
        <v>7</v>
      </c>
      <c r="G29" s="40">
        <v>4</v>
      </c>
    </row>
    <row r="30" spans="2:7" x14ac:dyDescent="0.3">
      <c r="B30" s="1" t="s">
        <v>112</v>
      </c>
      <c r="C30" s="2">
        <f t="shared" ref="C30:C33" si="3">INDEX($D30:$G30,MATCH($C$2,$D$3:$G$3,0))</f>
        <v>0</v>
      </c>
      <c r="D30" s="40"/>
      <c r="E30" s="40"/>
      <c r="F30" s="40"/>
      <c r="G30" s="40"/>
    </row>
    <row r="31" spans="2:7" x14ac:dyDescent="0.3">
      <c r="B31" s="1" t="s">
        <v>113</v>
      </c>
      <c r="C31" s="2">
        <f t="shared" si="3"/>
        <v>7</v>
      </c>
      <c r="D31" s="40">
        <v>6</v>
      </c>
      <c r="E31" s="40">
        <v>7</v>
      </c>
      <c r="F31" s="40">
        <v>2</v>
      </c>
      <c r="G31" s="40">
        <v>6</v>
      </c>
    </row>
    <row r="32" spans="2:7" x14ac:dyDescent="0.3">
      <c r="B32" s="1" t="s">
        <v>114</v>
      </c>
      <c r="C32" s="2">
        <f t="shared" si="3"/>
        <v>9</v>
      </c>
      <c r="D32" s="40">
        <v>3</v>
      </c>
      <c r="E32" s="40">
        <v>9</v>
      </c>
      <c r="F32" s="40">
        <v>2</v>
      </c>
      <c r="G32" s="40">
        <v>8</v>
      </c>
    </row>
    <row r="33" spans="1:7" x14ac:dyDescent="0.3">
      <c r="B33" s="1" t="s">
        <v>17</v>
      </c>
      <c r="C33" s="2">
        <f t="shared" si="3"/>
        <v>8</v>
      </c>
      <c r="D33" s="40">
        <v>7</v>
      </c>
      <c r="E33" s="40">
        <v>8</v>
      </c>
      <c r="F33" s="40">
        <v>7</v>
      </c>
      <c r="G33" s="40">
        <v>9</v>
      </c>
    </row>
    <row r="34" spans="1:7" ht="16.5" thickBot="1" x14ac:dyDescent="0.35">
      <c r="B34" s="16" t="s">
        <v>42</v>
      </c>
      <c r="C34" s="17">
        <f>SUM(C29:C33)</f>
        <v>34</v>
      </c>
    </row>
    <row r="35" spans="1:7" ht="16.5" thickTop="1" x14ac:dyDescent="0.3">
      <c r="B35" s="1"/>
    </row>
    <row r="36" spans="1:7" x14ac:dyDescent="0.3">
      <c r="A36" t="s">
        <v>148</v>
      </c>
      <c r="B36" s="49" t="s">
        <v>130</v>
      </c>
    </row>
    <row r="37" spans="1:7" x14ac:dyDescent="0.3">
      <c r="B37" s="1" t="s">
        <v>115</v>
      </c>
      <c r="C37" s="2">
        <f>INDEX($D37:$G37,MATCH($C$2,$D$3:$G$3,0))</f>
        <v>8.7099999999999991</v>
      </c>
      <c r="D37" s="40">
        <v>8.43</v>
      </c>
      <c r="E37" s="40">
        <v>8.7099999999999991</v>
      </c>
      <c r="F37" s="40">
        <v>9.5399999999999991</v>
      </c>
      <c r="G37" s="40">
        <v>10.839999999999998</v>
      </c>
    </row>
    <row r="38" spans="1:7" x14ac:dyDescent="0.3">
      <c r="B38" s="1" t="s">
        <v>116</v>
      </c>
      <c r="C38" s="2">
        <f t="shared" ref="C38:C41" si="4">INDEX($D38:$G38,MATCH($C$2,$D$3:$G$3,0))</f>
        <v>0</v>
      </c>
    </row>
    <row r="39" spans="1:7" x14ac:dyDescent="0.3">
      <c r="B39" s="1" t="s">
        <v>118</v>
      </c>
      <c r="C39" s="2">
        <f t="shared" si="4"/>
        <v>0</v>
      </c>
    </row>
    <row r="40" spans="1:7" x14ac:dyDescent="0.3">
      <c r="B40" s="1" t="s">
        <v>117</v>
      </c>
      <c r="C40" s="2">
        <f t="shared" si="4"/>
        <v>0</v>
      </c>
    </row>
    <row r="41" spans="1:7" x14ac:dyDescent="0.3">
      <c r="B41" s="1" t="s">
        <v>109</v>
      </c>
      <c r="C41" s="2">
        <f t="shared" si="4"/>
        <v>0</v>
      </c>
    </row>
    <row r="42" spans="1:7" ht="16.5" thickBot="1" x14ac:dyDescent="0.35">
      <c r="B42" s="16" t="s">
        <v>110</v>
      </c>
      <c r="C42" s="17">
        <f>SUM(C37:C41)</f>
        <v>8.7099999999999991</v>
      </c>
    </row>
    <row r="43" spans="1:7" ht="16.5" thickTop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D3FA1-30A2-42F8-B51D-7BB6C9095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CD5576-806B-4316-ABA4-7A78E2CBAD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9D984D9-47BB-465C-B809-4412CE862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Cash flow forecast</vt:lpstr>
      <vt:lpstr>Formatting</vt:lpstr>
      <vt:lpstr>Unit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2023-01-16T00:49:24Z</dcterms:created>
  <dcterms:modified xsi:type="dcterms:W3CDTF">2025-06-26T02:29:45Z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